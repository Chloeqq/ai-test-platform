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c0a460045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8e5bc76bb08b4d63"/>
    <x:sheet xmlns:r="http://schemas.openxmlformats.org/officeDocument/2006/relationships" name="01_完整清单" sheetId="2" r:id="R697cc2e08d034618"/>
    <x:sheet xmlns:r="http://schemas.openxmlformats.org/officeDocument/2006/relationships" name="02_多元输入与自然语" sheetId="3" r:id="Rc31f1ce9b03d44a4"/>
    <x:sheet xmlns:r="http://schemas.openxmlformats.org/officeDocument/2006/relationships" name="03_自然语言测试资产" sheetId="4" r:id="R1fec2ebf3d954c75"/>
    <x:sheet xmlns:r="http://schemas.openxmlformats.org/officeDocument/2006/relationships" name="04_Asset-to" sheetId="5" r:id="Rf636e118e41449a1"/>
    <x:sheet xmlns:r="http://schemas.openxmlformats.org/officeDocument/2006/relationships" name="05_公共资源与能力域" sheetId="6" r:id="R49fcc04f98f04ca9"/>
    <x:sheet xmlns:r="http://schemas.openxmlformats.org/officeDocument/2006/relationships" name="06_测试用例、执行、" sheetId="7" r:id="R496e7cf8bd9d4a51"/>
    <x:sheet xmlns:r="http://schemas.openxmlformats.org/officeDocument/2006/relationships" name="07_平台控制面" sheetId="8" r:id="R98c5fe457f82409b"/>
    <x:sheet xmlns:r="http://schemas.openxmlformats.org/officeDocument/2006/relationships" name="08_技术基础设施域" sheetId="9" r:id="R32dae59e6ac044a8"/>
    <x:sheet xmlns:r="http://schemas.openxmlformats.org/officeDocument/2006/relationships" name="09_MVP路线图" sheetId="10" r:id="R686ea582db9e4fde"/>
    <x:sheet xmlns:r="http://schemas.openxmlformats.org/officeDocument/2006/relationships" name="10_ID字段字典" sheetId="11" r:id="Rf5f8b9163e3c4254"/>
    <x:sheet xmlns:r="http://schemas.openxmlformats.org/officeDocument/2006/relationships" name="11_实体关系" sheetId="12" r:id="R36c9c71c2cf34baa"/>
    <x:sheet xmlns:r="http://schemas.openxmlformats.org/officeDocument/2006/relationships" name="12_状态枚举" sheetId="13" r:id="R8e7675d632c44788"/>
    <x:sheet xmlns:r="http://schemas.openxmlformats.org/officeDocument/2006/relationships" name="13_字段传递链" sheetId="14" r:id="R5cc65a0880484650"/>
    <x:sheet xmlns:r="http://schemas.openxmlformats.org/officeDocument/2006/relationships" name="14_领域数据明细" sheetId="15" r:id="R640fd86aef994793"/>
    <x:sheet xmlns:r="http://schemas.openxmlformats.org/officeDocument/2006/relationships" name="15_需求覆盖模型" sheetId="16" r:id="R4d182e3f702c423a"/>
    <x:sheet xmlns:r="http://schemas.openxmlformats.org/officeDocument/2006/relationships" name="16_测试计划与套件" sheetId="17" r:id="R8dd1d8794faa4b72"/>
    <x:sheet xmlns:r="http://schemas.openxmlformats.org/officeDocument/2006/relationships" name="17_资源环境预占" sheetId="18" r:id="R7ce3aa2753114c7a"/>
    <x:sheet xmlns:r="http://schemas.openxmlformats.org/officeDocument/2006/relationships" name="18_执行步骤与Flaky" sheetId="19" r:id="R39a45564b8104ae3"/>
    <x:sheet xmlns:r="http://schemas.openxmlformats.org/officeDocument/2006/relationships" name="19_AI治理与评估" sheetId="20" r:id="R37af8d63774b4909"/>
    <x:sheet xmlns:r="http://schemas.openxmlformats.org/officeDocument/2006/relationships" name="20_通用字段规范" sheetId="21" r:id="R9ae902f60a624e19"/>
    <x:sheet xmlns:r="http://schemas.openxmlformats.org/officeDocument/2006/relationships" name="21_数据安全与保留" sheetId="22" r:id="R2548cfecf9bf477a"/>
    <x:sheet xmlns:r="http://schemas.openxmlformats.org/officeDocument/2006/relationships" name="22_旧平台迁移计划" sheetId="23" r:id="Ra19c15a31ced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0"/>
      <x:color rgb="FF39424E"/>
      <x:name val="Microsoft YaHei"/>
    </x:font>
    <x:font>
      <x:sz val="10"/>
      <x:color rgb="FF39424E"/>
      <x:name val="Microsoft YaHei"/>
    </x:font>
    <x:font>
      <x:b/>
      <x:sz val="18"/>
      <x:color rgb="FF4A4258"/>
      <x:name val="Microsoft YaHei"/>
    </x:font>
    <x:font>
      <x:i/>
      <x:sz val="10"/>
      <x:color rgb="FF665C32"/>
      <x:name val="Microsoft YaHei"/>
    </x:font>
    <x:font>
      <x:sz val="10"/>
      <x:color rgb="FF264A69"/>
      <x:name val="Microsoft YaHei"/>
    </x:font>
    <x:font>
      <x:b/>
      <x:sz val="10"/>
      <x:color rgb="FF264A69"/>
      <x:name val="Microsoft YaHei"/>
    </x:font>
    <x:font>
      <x:sz val="10"/>
      <x:color rgb="FF2D5E3E"/>
      <x:name val="Microsoft YaHei"/>
    </x:font>
    <x:font>
      <x:b/>
      <x:sz val="10"/>
      <x:color rgb="FF2D5E3E"/>
      <x:name val="Microsoft YaHei"/>
    </x:font>
    <x:font>
      <x:sz val="10"/>
      <x:color rgb="FF6A5718"/>
      <x:name val="Microsoft YaHei"/>
    </x:font>
    <x:font>
      <x:b/>
      <x:sz val="10"/>
      <x:color rgb="FF6A5718"/>
      <x:name val="Microsoft YaHei"/>
    </x:font>
    <x:font>
      <x:sz val="10"/>
      <x:color rgb="FF51406B"/>
      <x:name val="Microsoft YaHei"/>
    </x:font>
    <x:font>
      <x:b/>
      <x:sz val="10"/>
      <x:color rgb="FF51406B"/>
      <x:name val="Microsoft YaHei"/>
    </x:font>
    <x:font>
      <x:sz val="10"/>
      <x:color rgb="FF70421E"/>
      <x:name val="Microsoft YaHei"/>
    </x:font>
    <x:font>
      <x:b/>
      <x:sz val="10"/>
      <x:color rgb="FF70421E"/>
      <x:name val="Microsoft YaHei"/>
    </x:font>
    <x:font>
      <x:sz val="10"/>
      <x:color rgb="FF6D3437"/>
      <x:name val="Microsoft YaHei"/>
    </x:font>
    <x:font>
      <x:b/>
      <x:sz val="10"/>
      <x:color rgb="FF6D3437"/>
      <x:name val="Microsoft YaHei"/>
    </x:font>
    <x:font>
      <x:sz val="10"/>
      <x:color rgb="FF2D5B58"/>
      <x:name val="Microsoft YaHei"/>
    </x:font>
    <x:font>
      <x:b/>
      <x:sz val="10"/>
      <x:color rgb="FF2D5B58"/>
      <x:name val="Microsoft YaHei"/>
    </x:font>
    <x:font>
      <x:b/>
      <x:sz val="10"/>
      <x:color rgb="FF7A3E42"/>
      <x:name val="Microsoft YaHei"/>
    </x:font>
    <x:font>
      <x:b/>
      <x:sz val="10"/>
      <x:color rgb="FF5A4773"/>
      <x:name val="Microsoft YaHei"/>
    </x:font>
    <x:font>
      <x:b/>
      <x:sz val="16"/>
      <x:color rgb="FF4A4258"/>
      <x:name val="Microsoft YaHei"/>
    </x:font>
    <x:font>
      <x:b/>
      <x:sz val="16"/>
      <x:color rgb="FF264A69"/>
      <x:name val="Microsoft YaHei"/>
    </x:font>
    <x:font>
      <x:b/>
      <x:sz val="16"/>
      <x:color rgb="FF2D5E3E"/>
      <x:name val="Microsoft YaHei"/>
    </x:font>
    <x:font>
      <x:b/>
      <x:sz val="16"/>
      <x:color rgb="FF6A5718"/>
      <x:name val="Microsoft YaHei"/>
    </x:font>
    <x:font>
      <x:b/>
      <x:sz val="16"/>
      <x:color rgb="FF51406B"/>
      <x:name val="Microsoft YaHei"/>
    </x:font>
    <x:font>
      <x:b/>
      <x:sz val="16"/>
      <x:color rgb="FF70421E"/>
      <x:name val="Microsoft YaHei"/>
    </x:font>
    <x:font>
      <x:b/>
      <x:sz val="16"/>
      <x:color rgb="FF6D3437"/>
      <x:name val="Microsoft YaHei"/>
    </x:font>
    <x:font>
      <x:b/>
      <x:sz val="16"/>
      <x:color rgb="FF2D5B58"/>
      <x:name val="Microsoft YaHei"/>
    </x:font>
    <x:font>
      <x:b/>
      <x:sz val="17"/>
      <x:color rgb="FF315A7A"/>
      <x:name val="Carlito"/>
    </x:font>
    <x:font>
      <x:i/>
      <x:sz val="11"/>
      <x:color rgb="FF665C32"/>
      <x:name val="Carlito"/>
    </x:font>
    <x:font>
      <x:b/>
      <x:sz val="11"/>
      <x:color rgb="FF39424E"/>
      <x:name val="Carlito"/>
    </x:font>
    <x:font>
      <x:sz val="9"/>
      <x:color rgb="FF39424E"/>
      <x:name val="Microsoft YaHei"/>
    </x:font>
    <x:font>
      <x:b/>
      <x:sz val="9"/>
      <x:color rgb="FF264A69"/>
      <x:name val="Microsoft YaHei"/>
    </x:font>
    <x:font>
      <x:b/>
      <x:sz val="9"/>
      <x:color rgb="FF2D5E3E"/>
      <x:name val="Microsoft YaHei"/>
    </x:font>
    <x:font>
      <x:b/>
      <x:sz val="9"/>
      <x:color rgb="FF6A5718"/>
      <x:name val="Microsoft YaHei"/>
    </x:font>
    <x:font>
      <x:b/>
      <x:sz val="9"/>
      <x:color rgb="FF51406B"/>
      <x:name val="Microsoft YaHei"/>
    </x:font>
    <x:font>
      <x:b/>
      <x:sz val="9"/>
      <x:color rgb="FF70421E"/>
      <x:name val="Microsoft YaHei"/>
    </x:font>
    <x:font>
      <x:b/>
      <x:sz val="9"/>
      <x:color rgb="FF6D3437"/>
      <x:name val="Microsoft YaHei"/>
    </x:font>
    <x:font>
      <x:b/>
      <x:sz val="9"/>
      <x:color rgb="FF2D5B58"/>
      <x:name val="Microsoft YaHei"/>
    </x:font>
    <x:font>
      <x:b/>
      <x:sz val="17"/>
      <x:color rgb="FF356044"/>
      <x:name val="Carlito"/>
    </x:font>
    <x:font>
      <x:b/>
      <x:sz val="17"/>
      <x:color rgb="FF735F1F"/>
      <x:name val="Carlito"/>
    </x:font>
    <x:font>
      <x:b/>
      <x:sz val="17"/>
      <x:color rgb="FF70421E"/>
      <x:name val="Carlito"/>
    </x:font>
    <x:font>
      <x:b/>
      <x:sz val="17"/>
      <x:color rgb="FF5A4773"/>
      <x:name val="Carlito"/>
    </x:font>
    <x:font>
      <x:b/>
      <x:sz val="14"/>
      <x:color rgb="FF315A7A"/>
      <x:name val="Microsoft YaHei"/>
    </x:font>
    <x:font>
      <x:b/>
      <x:sz val="17"/>
      <x:color rgb="FF39424E"/>
      <x:name val="Carlito"/>
    </x:font>
    <x:font>
      <x:b/>
      <x:sz val="14"/>
      <x:color rgb="FF39424E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00000"/>
      </x:patternFill>
    </x:fill>
    <x:fill>
      <x:patternFill patternType="solid">
        <x:fgColor rgb="FF2980B9"/>
      </x:patternFill>
    </x:fill>
    <x:fill>
      <x:patternFill patternType="solid">
        <x:fgColor rgb="FF148F77"/>
      </x:patternFill>
    </x:fill>
    <x:fill>
      <x:patternFill patternType="solid">
        <x:fgColor rgb="FFB7950B"/>
      </x:patternFill>
    </x:fill>
    <x:fill>
      <x:patternFill patternType="solid">
        <x:fgColor rgb="FF7D3C98"/>
      </x:patternFill>
    </x:fill>
    <x:fill>
      <x:patternFill patternType="solid">
        <x:fgColor rgb="FFCA6F1E"/>
      </x:patternFill>
    </x:fill>
    <x:fill>
      <x:patternFill patternType="solid">
        <x:fgColor rgb="FF5D6D7E"/>
      </x:patternFill>
    </x:fill>
    <x:fill>
      <x:patternFill patternType="solid">
        <x:fgColor rgb="FF797D7F"/>
      </x:patternFill>
    </x:fill>
    <x:fill>
      <x:patternFill patternType="solid">
        <x:fgColor rgb="FFEEE7F7"/>
      </x:patternFill>
    </x:fill>
    <x:fill>
      <x:patternFill patternType="solid">
        <x:fgColor rgb="FFFFF6D8"/>
      </x:patternFill>
    </x:fill>
    <x:fill>
      <x:patternFill patternType="solid">
        <x:fgColor rgb="FFDDEBFA"/>
      </x:patternFill>
    </x:fill>
    <x:fill>
      <x:patternFill patternType="solid">
        <x:fgColor rgb="FFDFF3E4"/>
      </x:patternFill>
    </x:fill>
    <x:fill>
      <x:patternFill patternType="solid">
        <x:fgColor rgb="FFFFF2C7"/>
      </x:patternFill>
    </x:fill>
    <x:fill>
      <x:patternFill patternType="solid">
        <x:fgColor rgb="FFEADFF7"/>
      </x:patternFill>
    </x:fill>
    <x:fill>
      <x:patternFill patternType="solid">
        <x:fgColor rgb="FFDDEEFF"/>
      </x:patternFill>
    </x:fill>
    <x:fill>
      <x:patternFill patternType="solid">
        <x:fgColor rgb="FFFFE4C7"/>
      </x:patternFill>
    </x:fill>
    <x:fill>
      <x:patternFill patternType="solid">
        <x:fgColor rgb="FFF8DADB"/>
      </x:patternFill>
    </x:fill>
    <x:fill>
      <x:patternFill patternType="solid">
        <x:fgColor rgb="FFDFF2F1"/>
      </x:patternFill>
    </x:fill>
    <x:fill>
      <x:patternFill patternType="solid">
        <x:fgColor rgb="FFFFFFFF"/>
      </x:patternFill>
    </x:fill>
    <x:fill>
      <x:patternFill patternType="solid">
        <x:fgColor rgb="FFFAFBFC"/>
      </x:patternFill>
    </x:fill>
    <x:fill>
      <x:patternFill patternType="solid">
        <x:fgColor rgb="FFDDEBFA"/>
      </x:patternFill>
    </x:fill>
    <x:fill>
      <x:patternFill patternType="solid">
        <x:fgColor rgb="FFFFF2C7"/>
      </x:patternFill>
    </x:fill>
    <x:fill>
      <x:patternFill patternType="solid">
        <x:fgColor rgb="FFDFF3E4"/>
      </x:patternFill>
    </x:fill>
    <x:fill>
      <x:patternFill patternType="solid">
        <x:fgColor rgb="FFEADFF7"/>
      </x:patternFill>
    </x:fill>
    <x:fill>
      <x:patternFill patternType="solid">
        <x:fgColor rgb="FFFFFFFF"/>
      </x:patternFill>
    </x:fill>
    <x:fill>
      <x:patternFill patternType="solid">
        <x:fgColor rgb="FFDDEEFF"/>
      </x:patternFill>
    </x:fill>
    <x:fill>
      <x:patternFill patternType="solid">
        <x:fgColor rgb="FFFFE4C7"/>
      </x:patternFill>
    </x:fill>
    <x:fill>
      <x:patternFill patternType="solid">
        <x:fgColor rgb="FFF8DADB"/>
      </x:patternFill>
    </x:fill>
    <x:fill>
      <x:patternFill patternType="solid">
        <x:fgColor rgb="FFDFF2F1"/>
      </x:patternFill>
    </x:fill>
    <x:fill>
      <x:patternFill patternType="solid">
        <x:fgColor rgb="FFFFFFFF"/>
      </x:patternFill>
    </x:fill>
    <x:fill>
      <x:patternFill patternType="solid">
        <x:fgColor rgb="FFDDEBFA"/>
      </x:patternFill>
    </x:fill>
    <x:fill>
      <x:patternFill patternType="solid">
        <x:fgColor rgb="FFDFF3E4"/>
      </x:patternFill>
    </x:fill>
    <x:fill>
      <x:patternFill patternType="solid">
        <x:fgColor rgb="FFFFF2C7"/>
      </x:patternFill>
    </x:fill>
    <x:fill>
      <x:patternFill patternType="solid">
        <x:fgColor rgb="FFEADFF7"/>
      </x:patternFill>
    </x:fill>
    <x:fill>
      <x:patternFill patternType="solid">
        <x:fgColor rgb="FFFFE4C7"/>
      </x:patternFill>
    </x:fill>
    <x:fill>
      <x:patternFill patternType="solid">
        <x:fgColor rgb="FFF8DADB"/>
      </x:patternFill>
    </x:fill>
    <x:fill>
      <x:patternFill patternType="solid">
        <x:fgColor rgb="FFDFF2F1"/>
      </x:patternFill>
    </x:fill>
  </x:fills>
  <x:borders count="5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5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horizontal="center" wrapText="1"/>
    </x:xf>
    <x:xf numFmtId="0" fontId="2" fillId="4" borderId="6" xfId="0" applyNumberFormat="1" applyFont="1" applyFill="1" applyBorder="1" applyAlignment="1">
      <x:alignment horizontal="center" wrapText="1"/>
    </x:xf>
    <x:xf numFmtId="0" fontId="2" fillId="4" borderId="7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0" fontId="2" fillId="5" borderId="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horizontal="center"/>
    </x:xf>
    <x:xf numFmtId="0" fontId="2" fillId="5" borderId="6" xfId="0" applyNumberFormat="1" applyFont="1" applyFill="1" applyBorder="1" applyAlignment="1">
      <x:alignment horizontal="center"/>
    </x:xf>
    <x:xf numFmtId="0" fontId="2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7" fillId="13" borderId="0" xfId="0" applyNumberFormat="1" applyFont="1" applyFill="1" applyBorder="1" applyAlignment="1">
      <x:alignment horizontal="center" vertical="center"/>
    </x:xf>
    <x:xf numFmtId="0" fontId="7" fillId="13" borderId="24" xfId="0" applyNumberFormat="1" applyFont="1" applyFill="1" applyBorder="1" applyAlignment="1">
      <x:alignment horizontal="center" vertical="center"/>
    </x:xf>
    <x:xf numFmtId="0" fontId="7" fillId="13" borderId="25" xfId="0" applyNumberFormat="1" applyFont="1" applyFill="1" applyBorder="1" applyAlignment="1">
      <x:alignment horizontal="center" vertical="center"/>
    </x:xf>
    <x:xf numFmtId="0" fontId="7" fillId="13" borderId="26" xfId="0" applyNumberFormat="1" applyFont="1" applyFill="1" applyBorder="1" applyAlignment="1">
      <x:alignment horizontal="center" vertical="center"/>
    </x:xf>
    <x:xf numFmtId="0" fontId="6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8" fillId="14" borderId="24" xfId="0" applyNumberFormat="1" applyFont="1" applyFill="1" applyBorder="1" applyAlignment="1">
      <x:alignment wrapText="1"/>
    </x:xf>
    <x:xf numFmtId="0" fontId="8" fillId="14" borderId="25" xfId="0" applyNumberFormat="1" applyFont="1" applyFill="1" applyBorder="1" applyAlignment="1">
      <x:alignment wrapText="1"/>
    </x:xf>
    <x:xf numFmtId="0" fontId="8" fillId="14" borderId="26" xfId="0" applyNumberFormat="1" applyFont="1" applyFill="1" applyBorder="1" applyAlignment="1">
      <x:alignment wrapText="1"/>
    </x:xf>
    <x:xf numFmtId="0" fontId="8" fillId="14" borderId="24" xfId="0" applyNumberFormat="1" applyFont="1" applyFill="1" applyBorder="1" applyAlignment="1">
      <x:alignment vertical="center" wrapText="1"/>
    </x:xf>
    <x:xf numFmtId="0" fontId="8" fillId="14" borderId="25" xfId="0" applyNumberFormat="1" applyFont="1" applyFill="1" applyBorder="1" applyAlignment="1">
      <x:alignment vertical="center" wrapText="1"/>
    </x:xf>
    <x:xf numFmtId="0" fontId="8" fillId="14" borderId="26" xfId="0" applyNumberFormat="1" applyFont="1" applyFill="1" applyBorder="1" applyAlignment="1">
      <x:alignment vertical="center" wrapText="1"/>
    </x:xf>
    <x:xf numFmtId="0" fontId="5" fillId="15" borderId="2" xfId="0" applyNumberFormat="1" applyFont="1" applyFill="1" applyBorder="1" applyAlignment="1">
      <x:alignment horizontal="center" wrapText="1"/>
    </x:xf>
    <x:xf numFmtId="0" fontId="5" fillId="15" borderId="3" xfId="0" applyNumberFormat="1" applyFont="1" applyFill="1" applyBorder="1" applyAlignment="1">
      <x:alignment horizontal="center" wrapText="1"/>
    </x:xf>
    <x:xf numFmtId="0" fontId="5" fillId="15" borderId="24" xfId="0" applyNumberFormat="1" applyFont="1" applyFill="1" applyBorder="1" applyAlignment="1">
      <x:alignment horizontal="center" wrapText="1"/>
    </x:xf>
    <x:xf numFmtId="0" fontId="5" fillId="15" borderId="26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6" borderId="3" xfId="0" applyNumberFormat="1" applyFont="1" applyFill="1" applyBorder="1" applyAlignment="1">
      <x:alignment horizontal="center" wrapText="1"/>
    </x:xf>
    <x:xf numFmtId="0" fontId="5" fillId="16" borderId="24" xfId="0" applyNumberFormat="1" applyFont="1" applyFill="1" applyBorder="1" applyAlignment="1">
      <x:alignment horizontal="center" wrapText="1"/>
    </x:xf>
    <x:xf numFmtId="0" fontId="5" fillId="16" borderId="25" xfId="0" applyNumberFormat="1" applyFont="1" applyFill="1" applyBorder="1" applyAlignment="1">
      <x:alignment horizontal="center" wrapText="1"/>
    </x:xf>
    <x:xf numFmtId="0" fontId="5" fillId="16" borderId="26" xfId="0" applyNumberFormat="1" applyFont="1" applyFill="1" applyBorder="1" applyAlignment="1">
      <x:alignment horizontal="center" wrapText="1"/>
    </x:xf>
    <x:xf numFmtId="0" fontId="5" fillId="16" borderId="0" xfId="0" applyNumberFormat="1" applyFont="1" applyFill="1" applyBorder="1" applyAlignment="1">
      <x:alignment horizontal="center" wrapText="1"/>
    </x:xf>
    <x:xf numFmtId="0" fontId="5" fillId="17" borderId="3" xfId="0" applyNumberFormat="1" applyFont="1" applyFill="1" applyBorder="1" applyAlignment="1">
      <x:alignment horizontal="center" wrapText="1"/>
    </x:xf>
    <x:xf numFmtId="0" fontId="5" fillId="17" borderId="24" xfId="0" applyNumberFormat="1" applyFont="1" applyFill="1" applyBorder="1" applyAlignment="1">
      <x:alignment horizontal="center" wrapText="1"/>
    </x:xf>
    <x:xf numFmtId="0" fontId="5" fillId="17" borderId="25" xfId="0" applyNumberFormat="1" applyFont="1" applyFill="1" applyBorder="1" applyAlignment="1">
      <x:alignment horizontal="center" wrapText="1"/>
    </x:xf>
    <x:xf numFmtId="0" fontId="5" fillId="17" borderId="26" xfId="0" applyNumberFormat="1" applyFont="1" applyFill="1" applyBorder="1" applyAlignment="1">
      <x:alignment horizontal="center" wrapText="1"/>
    </x:xf>
    <x:xf numFmtId="0" fontId="5" fillId="17" borderId="0" xfId="0" applyNumberFormat="1" applyFont="1" applyFill="1" applyBorder="1" applyAlignment="1">
      <x:alignment horizontal="center" wrapText="1"/>
    </x:xf>
    <x:xf numFmtId="0" fontId="5" fillId="18" borderId="3" xfId="0" applyNumberFormat="1" applyFont="1" applyFill="1" applyBorder="1" applyAlignment="1">
      <x:alignment horizontal="center" wrapText="1"/>
    </x:xf>
    <x:xf numFmtId="0" fontId="5" fillId="18" borderId="4" xfId="0" applyNumberFormat="1" applyFont="1" applyFill="1" applyBorder="1" applyAlignment="1">
      <x:alignment horizontal="center" wrapText="1"/>
    </x:xf>
    <x:xf numFmtId="0" fontId="5" fillId="18" borderId="24" xfId="0" applyNumberFormat="1" applyFont="1" applyFill="1" applyBorder="1" applyAlignment="1">
      <x:alignment horizontal="center" wrapText="1"/>
    </x:xf>
    <x:xf numFmtId="0" fontId="5" fillId="18" borderId="26" xfId="0" applyNumberFormat="1" applyFont="1" applyFill="1" applyBorder="1" applyAlignment="1">
      <x:alignment horizontal="center" wrapText="1"/>
    </x:xf>
    <x:xf numFmtId="0" fontId="5" fillId="18" borderId="0" xfId="0" applyNumberFormat="1" applyFont="1" applyFill="1" applyBorder="1" applyAlignment="1">
      <x:alignment horizontal="center" wrapText="1"/>
    </x:xf>
    <x:xf numFmtId="0" fontId="6" fillId="19" borderId="2" xfId="0" applyNumberFormat="1" applyFont="1" applyFill="1" applyBorder="1" applyAlignment="1">
      <x:alignment wrapText="1"/>
    </x:xf>
    <x:xf numFmtId="0" fontId="6" fillId="19" borderId="3" xfId="0" applyNumberFormat="1" applyFont="1" applyFill="1" applyBorder="1" applyAlignment="1">
      <x:alignment wrapText="1"/>
    </x:xf>
    <x:xf numFmtId="200" fontId="6" fillId="19" borderId="3" xfId="0" applyNumberFormat="1" applyFont="1" applyFill="1" applyBorder="1" applyAlignment="1">
      <x:alignment wrapText="1"/>
    </x:xf>
    <x:xf numFmtId="0" fontId="6" fillId="19" borderId="4" xfId="0" applyNumberFormat="1" applyFont="1" applyFill="1" applyBorder="1" applyAlignment="1">
      <x:alignment wrapText="1"/>
    </x:xf>
    <x:xf numFmtId="0" fontId="9" fillId="19" borderId="2" xfId="0" applyNumberFormat="1" applyFont="1" applyFill="1" applyBorder="1" applyAlignment="1">
      <x:alignment wrapText="1"/>
    </x:xf>
    <x:xf numFmtId="0" fontId="9" fillId="19" borderId="3" xfId="0" applyNumberFormat="1" applyFont="1" applyFill="1" applyBorder="1" applyAlignment="1">
      <x:alignment wrapText="1"/>
    </x:xf>
    <x:xf numFmtId="200" fontId="9" fillId="19" borderId="3" xfId="0" applyNumberFormat="1" applyFont="1" applyFill="1" applyBorder="1" applyAlignment="1">
      <x:alignment wrapText="1"/>
    </x:xf>
    <x:xf numFmtId="0" fontId="9" fillId="19" borderId="4" xfId="0" applyNumberFormat="1" applyFont="1" applyFill="1" applyBorder="1" applyAlignment="1">
      <x:alignment wrapText="1"/>
    </x:xf>
    <x:xf numFmtId="0" fontId="9" fillId="19" borderId="24" xfId="0" applyNumberFormat="1" applyFont="1" applyFill="1" applyBorder="1" applyAlignment="1">
      <x:alignment wrapText="1"/>
    </x:xf>
    <x:xf numFmtId="0" fontId="9" fillId="19" borderId="25" xfId="0" applyNumberFormat="1" applyFont="1" applyFill="1" applyBorder="1" applyAlignment="1">
      <x:alignment wrapText="1"/>
    </x:xf>
    <x:xf numFmtId="200" fontId="9" fillId="19" borderId="25" xfId="0" applyNumberFormat="1" applyFont="1" applyFill="1" applyBorder="1" applyAlignment="1">
      <x:alignment wrapText="1"/>
    </x:xf>
    <x:xf numFmtId="0" fontId="9" fillId="19" borderId="26" xfId="0" applyNumberFormat="1" applyFont="1" applyFill="1" applyBorder="1" applyAlignment="1">
      <x:alignment wrapText="1"/>
    </x:xf>
    <x:xf numFmtId="0" fontId="9" fillId="19" borderId="24" xfId="0" applyNumberFormat="1" applyFont="1" applyFill="1" applyBorder="1" applyAlignment="1">
      <x:alignment vertical="center" wrapText="1"/>
    </x:xf>
    <x:xf numFmtId="0" fontId="9" fillId="19" borderId="25" xfId="0" applyNumberFormat="1" applyFont="1" applyFill="1" applyBorder="1" applyAlignment="1">
      <x:alignment vertical="center" wrapText="1"/>
    </x:xf>
    <x:xf numFmtId="200" fontId="9" fillId="19" borderId="25" xfId="0" applyNumberFormat="1" applyFont="1" applyFill="1" applyBorder="1" applyAlignment="1">
      <x:alignment vertical="center" wrapText="1"/>
    </x:xf>
    <x:xf numFmtId="0" fontId="9" fillId="19" borderId="26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wrapText="1"/>
    </x:xf>
    <x:xf numFmtId="200" fontId="6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200" fontId="9" fillId="19" borderId="0" xfId="0" applyNumberFormat="1" applyFont="1" applyFill="1" applyBorder="1" applyAlignment="1">
      <x:alignment wrapText="1"/>
    </x:xf>
    <x:xf numFmtId="0" fontId="10" fillId="19" borderId="24" xfId="0" applyNumberFormat="1" applyFont="1" applyFill="1" applyBorder="1" applyAlignment="1">
      <x:alignment vertical="center" wrapText="1"/>
    </x:xf>
    <x:xf numFmtId="0" fontId="10" fillId="19" borderId="25" xfId="0" applyNumberFormat="1" applyFont="1" applyFill="1" applyBorder="1" applyAlignment="1">
      <x:alignment vertical="center" wrapText="1"/>
    </x:xf>
    <x:xf numFmtId="0" fontId="6" fillId="16" borderId="2" xfId="0" applyNumberFormat="1" applyFont="1" applyFill="1" applyBorder="1" applyAlignment="1">
      <x:alignment wrapText="1"/>
    </x:xf>
    <x:xf numFmtId="0" fontId="6" fillId="16" borderId="3" xfId="0" applyNumberFormat="1" applyFont="1" applyFill="1" applyBorder="1" applyAlignment="1">
      <x:alignment wrapText="1"/>
    </x:xf>
    <x:xf numFmtId="200" fontId="6" fillId="16" borderId="3" xfId="0" applyNumberFormat="1" applyFont="1" applyFill="1" applyBorder="1" applyAlignment="1">
      <x:alignment wrapText="1"/>
    </x:xf>
    <x:xf numFmtId="0" fontId="6" fillId="16" borderId="4" xfId="0" applyNumberFormat="1" applyFont="1" applyFill="1" applyBorder="1" applyAlignment="1">
      <x:alignment wrapText="1"/>
    </x:xf>
    <x:xf numFmtId="0" fontId="11" fillId="16" borderId="2" xfId="0" applyNumberFormat="1" applyFont="1" applyFill="1" applyBorder="1" applyAlignment="1">
      <x:alignment wrapText="1"/>
    </x:xf>
    <x:xf numFmtId="0" fontId="11" fillId="16" borderId="3" xfId="0" applyNumberFormat="1" applyFont="1" applyFill="1" applyBorder="1" applyAlignment="1">
      <x:alignment wrapText="1"/>
    </x:xf>
    <x:xf numFmtId="200" fontId="11" fillId="16" borderId="3" xfId="0" applyNumberFormat="1" applyFont="1" applyFill="1" applyBorder="1" applyAlignment="1">
      <x:alignment wrapText="1"/>
    </x:xf>
    <x:xf numFmtId="0" fontId="11" fillId="16" borderId="4" xfId="0" applyNumberFormat="1" applyFont="1" applyFill="1" applyBorder="1" applyAlignment="1">
      <x:alignment wrapText="1"/>
    </x:xf>
    <x:xf numFmtId="0" fontId="11" fillId="16" borderId="24" xfId="0" applyNumberFormat="1" applyFont="1" applyFill="1" applyBorder="1" applyAlignment="1">
      <x:alignment wrapText="1"/>
    </x:xf>
    <x:xf numFmtId="0" fontId="11" fillId="16" borderId="25" xfId="0" applyNumberFormat="1" applyFont="1" applyFill="1" applyBorder="1" applyAlignment="1">
      <x:alignment wrapText="1"/>
    </x:xf>
    <x:xf numFmtId="200" fontId="11" fillId="16" borderId="25" xfId="0" applyNumberFormat="1" applyFont="1" applyFill="1" applyBorder="1" applyAlignment="1">
      <x:alignment wrapText="1"/>
    </x:xf>
    <x:xf numFmtId="0" fontId="11" fillId="16" borderId="26" xfId="0" applyNumberFormat="1" applyFont="1" applyFill="1" applyBorder="1" applyAlignment="1">
      <x:alignment wrapText="1"/>
    </x:xf>
    <x:xf numFmtId="0" fontId="11" fillId="16" borderId="24" xfId="0" applyNumberFormat="1" applyFont="1" applyFill="1" applyBorder="1" applyAlignment="1">
      <x:alignment vertical="center" wrapText="1"/>
    </x:xf>
    <x:xf numFmtId="0" fontId="11" fillId="16" borderId="25" xfId="0" applyNumberFormat="1" applyFont="1" applyFill="1" applyBorder="1" applyAlignment="1">
      <x:alignment vertical="center" wrapText="1"/>
    </x:xf>
    <x:xf numFmtId="200" fontId="11" fillId="16" borderId="25" xfId="0" applyNumberFormat="1" applyFont="1" applyFill="1" applyBorder="1" applyAlignment="1">
      <x:alignment vertical="center" wrapText="1"/>
    </x:xf>
    <x:xf numFmtId="0" fontId="11" fillId="16" borderId="26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wrapText="1"/>
    </x:xf>
    <x:xf numFmtId="200" fontId="6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wrapText="1"/>
    </x:xf>
    <x:xf numFmtId="200" fontId="11" fillId="16" borderId="0" xfId="0" applyNumberFormat="1" applyFont="1" applyFill="1" applyBorder="1" applyAlignment="1">
      <x:alignment wrapText="1"/>
    </x:xf>
    <x:xf numFmtId="0" fontId="12" fillId="16" borderId="24" xfId="0" applyNumberFormat="1" applyFont="1" applyFill="1" applyBorder="1" applyAlignment="1">
      <x:alignment vertical="center" wrapText="1"/>
    </x:xf>
    <x:xf numFmtId="0" fontId="12" fillId="16" borderId="25" xfId="0" applyNumberFormat="1" applyFont="1" applyFill="1" applyBorder="1" applyAlignment="1">
      <x:alignment vertical="center" wrapText="1"/>
    </x:xf>
    <x:xf numFmtId="0" fontId="6" fillId="17" borderId="2" xfId="0" applyNumberFormat="1" applyFont="1" applyFill="1" applyBorder="1" applyAlignment="1">
      <x:alignment wrapText="1"/>
    </x:xf>
    <x:xf numFmtId="0" fontId="6" fillId="17" borderId="3" xfId="0" applyNumberFormat="1" applyFont="1" applyFill="1" applyBorder="1" applyAlignment="1">
      <x:alignment wrapText="1"/>
    </x:xf>
    <x:xf numFmtId="200" fontId="6" fillId="17" borderId="3" xfId="0" applyNumberFormat="1" applyFont="1" applyFill="1" applyBorder="1" applyAlignment="1">
      <x:alignment wrapText="1"/>
    </x:xf>
    <x:xf numFmtId="0" fontId="6" fillId="17" borderId="4" xfId="0" applyNumberFormat="1" applyFont="1" applyFill="1" applyBorder="1" applyAlignment="1">
      <x:alignment wrapText="1"/>
    </x:xf>
    <x:xf numFmtId="0" fontId="13" fillId="17" borderId="2" xfId="0" applyNumberFormat="1" applyFont="1" applyFill="1" applyBorder="1" applyAlignment="1">
      <x:alignment wrapText="1"/>
    </x:xf>
    <x:xf numFmtId="0" fontId="13" fillId="17" borderId="3" xfId="0" applyNumberFormat="1" applyFont="1" applyFill="1" applyBorder="1" applyAlignment="1">
      <x:alignment wrapText="1"/>
    </x:xf>
    <x:xf numFmtId="200" fontId="13" fillId="17" borderId="3" xfId="0" applyNumberFormat="1" applyFont="1" applyFill="1" applyBorder="1" applyAlignment="1">
      <x:alignment wrapText="1"/>
    </x:xf>
    <x:xf numFmtId="0" fontId="13" fillId="17" borderId="4" xfId="0" applyNumberFormat="1" applyFont="1" applyFill="1" applyBorder="1" applyAlignment="1">
      <x:alignment wrapText="1"/>
    </x:xf>
    <x:xf numFmtId="0" fontId="13" fillId="17" borderId="24" xfId="0" applyNumberFormat="1" applyFont="1" applyFill="1" applyBorder="1" applyAlignment="1">
      <x:alignment wrapText="1"/>
    </x:xf>
    <x:xf numFmtId="0" fontId="13" fillId="17" borderId="25" xfId="0" applyNumberFormat="1" applyFont="1" applyFill="1" applyBorder="1" applyAlignment="1">
      <x:alignment wrapText="1"/>
    </x:xf>
    <x:xf numFmtId="200" fontId="13" fillId="17" borderId="25" xfId="0" applyNumberFormat="1" applyFont="1" applyFill="1" applyBorder="1" applyAlignment="1">
      <x:alignment wrapText="1"/>
    </x:xf>
    <x:xf numFmtId="0" fontId="13" fillId="17" borderId="26" xfId="0" applyNumberFormat="1" applyFont="1" applyFill="1" applyBorder="1" applyAlignment="1">
      <x:alignment wrapText="1"/>
    </x:xf>
    <x:xf numFmtId="0" fontId="13" fillId="17" borderId="24" xfId="0" applyNumberFormat="1" applyFont="1" applyFill="1" applyBorder="1" applyAlignment="1">
      <x:alignment vertical="center" wrapText="1"/>
    </x:xf>
    <x:xf numFmtId="0" fontId="13" fillId="17" borderId="25" xfId="0" applyNumberFormat="1" applyFont="1" applyFill="1" applyBorder="1" applyAlignment="1">
      <x:alignment vertical="center" wrapText="1"/>
    </x:xf>
    <x:xf numFmtId="200" fontId="13" fillId="17" borderId="25" xfId="0" applyNumberFormat="1" applyFont="1" applyFill="1" applyBorder="1" applyAlignment="1">
      <x:alignment vertical="center" wrapText="1"/>
    </x:xf>
    <x:xf numFmtId="0" fontId="13" fillId="17" borderId="26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wrapText="1"/>
    </x:xf>
    <x:xf numFmtId="200" fontId="6" fillId="17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 applyAlignment="1">
      <x:alignment wrapText="1"/>
    </x:xf>
    <x:xf numFmtId="200" fontId="13" fillId="17" borderId="0" xfId="0" applyNumberFormat="1" applyFont="1" applyFill="1" applyBorder="1" applyAlignment="1">
      <x:alignment wrapText="1"/>
    </x:xf>
    <x:xf numFmtId="0" fontId="14" fillId="17" borderId="24" xfId="0" applyNumberFormat="1" applyFont="1" applyFill="1" applyBorder="1" applyAlignment="1">
      <x:alignment vertical="center" wrapText="1"/>
    </x:xf>
    <x:xf numFmtId="0" fontId="14" fillId="17" borderId="25" xfId="0" applyNumberFormat="1" applyFont="1" applyFill="1" applyBorder="1" applyAlignment="1">
      <x:alignment vertical="center" wrapText="1"/>
    </x:xf>
    <x:xf numFmtId="0" fontId="6" fillId="18" borderId="2" xfId="0" applyNumberFormat="1" applyFont="1" applyFill="1" applyBorder="1" applyAlignment="1">
      <x:alignment wrapText="1"/>
    </x:xf>
    <x:xf numFmtId="0" fontId="6" fillId="18" borderId="3" xfId="0" applyNumberFormat="1" applyFont="1" applyFill="1" applyBorder="1" applyAlignment="1">
      <x:alignment wrapText="1"/>
    </x:xf>
    <x:xf numFmtId="200" fontId="6" fillId="18" borderId="3" xfId="0" applyNumberFormat="1" applyFont="1" applyFill="1" applyBorder="1" applyAlignment="1">
      <x:alignment wrapText="1"/>
    </x:xf>
    <x:xf numFmtId="0" fontId="6" fillId="18" borderId="4" xfId="0" applyNumberFormat="1" applyFont="1" applyFill="1" applyBorder="1" applyAlignment="1">
      <x:alignment wrapText="1"/>
    </x:xf>
    <x:xf numFmtId="0" fontId="15" fillId="18" borderId="2" xfId="0" applyNumberFormat="1" applyFont="1" applyFill="1" applyBorder="1" applyAlignment="1">
      <x:alignment wrapText="1"/>
    </x:xf>
    <x:xf numFmtId="0" fontId="15" fillId="18" borderId="3" xfId="0" applyNumberFormat="1" applyFont="1" applyFill="1" applyBorder="1" applyAlignment="1">
      <x:alignment wrapText="1"/>
    </x:xf>
    <x:xf numFmtId="200" fontId="15" fillId="18" borderId="3" xfId="0" applyNumberFormat="1" applyFont="1" applyFill="1" applyBorder="1" applyAlignment="1">
      <x:alignment wrapText="1"/>
    </x:xf>
    <x:xf numFmtId="0" fontId="15" fillId="18" borderId="4" xfId="0" applyNumberFormat="1" applyFont="1" applyFill="1" applyBorder="1" applyAlignment="1">
      <x:alignment wrapText="1"/>
    </x:xf>
    <x:xf numFmtId="0" fontId="15" fillId="18" borderId="24" xfId="0" applyNumberFormat="1" applyFont="1" applyFill="1" applyBorder="1" applyAlignment="1">
      <x:alignment wrapText="1"/>
    </x:xf>
    <x:xf numFmtId="0" fontId="15" fillId="18" borderId="25" xfId="0" applyNumberFormat="1" applyFont="1" applyFill="1" applyBorder="1" applyAlignment="1">
      <x:alignment wrapText="1"/>
    </x:xf>
    <x:xf numFmtId="200" fontId="15" fillId="18" borderId="25" xfId="0" applyNumberFormat="1" applyFont="1" applyFill="1" applyBorder="1" applyAlignment="1">
      <x:alignment wrapText="1"/>
    </x:xf>
    <x:xf numFmtId="0" fontId="15" fillId="18" borderId="26" xfId="0" applyNumberFormat="1" applyFont="1" applyFill="1" applyBorder="1" applyAlignment="1">
      <x:alignment wrapText="1"/>
    </x:xf>
    <x:xf numFmtId="0" fontId="15" fillId="18" borderId="24" xfId="0" applyNumberFormat="1" applyFont="1" applyFill="1" applyBorder="1" applyAlignment="1">
      <x:alignment vertical="center" wrapText="1"/>
    </x:xf>
    <x:xf numFmtId="0" fontId="15" fillId="18" borderId="25" xfId="0" applyNumberFormat="1" applyFont="1" applyFill="1" applyBorder="1" applyAlignment="1">
      <x:alignment vertical="center" wrapText="1"/>
    </x:xf>
    <x:xf numFmtId="200" fontId="15" fillId="18" borderId="25" xfId="0" applyNumberFormat="1" applyFont="1" applyFill="1" applyBorder="1" applyAlignment="1">
      <x:alignment vertical="center" wrapText="1"/>
    </x:xf>
    <x:xf numFmtId="0" fontId="15" fillId="18" borderId="26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wrapText="1"/>
    </x:xf>
    <x:xf numFmtId="200" fontId="6" fillId="18" borderId="0" xfId="0" applyNumberFormat="1" applyFont="1" applyFill="1" applyBorder="1" applyAlignment="1">
      <x:alignment wrapText="1"/>
    </x:xf>
    <x:xf numFmtId="0" fontId="15" fillId="18" borderId="0" xfId="0" applyNumberFormat="1" applyFont="1" applyFill="1" applyBorder="1" applyAlignment="1">
      <x:alignment wrapText="1"/>
    </x:xf>
    <x:xf numFmtId="200" fontId="15" fillId="18" borderId="0" xfId="0" applyNumberFormat="1" applyFont="1" applyFill="1" applyBorder="1" applyAlignment="1">
      <x:alignment wrapText="1"/>
    </x:xf>
    <x:xf numFmtId="0" fontId="16" fillId="18" borderId="24" xfId="0" applyNumberFormat="1" applyFont="1" applyFill="1" applyBorder="1" applyAlignment="1">
      <x:alignment vertical="center" wrapText="1"/>
    </x:xf>
    <x:xf numFmtId="0" fontId="16" fillId="18" borderId="25" xfId="0" applyNumberFormat="1" applyFont="1" applyFill="1" applyBorder="1" applyAlignment="1">
      <x:alignment vertical="center" wrapText="1"/>
    </x:xf>
    <x:xf numFmtId="0" fontId="6" fillId="20" borderId="2" xfId="0" applyNumberFormat="1" applyFont="1" applyFill="1" applyBorder="1" applyAlignment="1">
      <x:alignment wrapText="1"/>
    </x:xf>
    <x:xf numFmtId="0" fontId="6" fillId="20" borderId="3" xfId="0" applyNumberFormat="1" applyFont="1" applyFill="1" applyBorder="1" applyAlignment="1">
      <x:alignment wrapText="1"/>
    </x:xf>
    <x:xf numFmtId="200" fontId="6" fillId="20" borderId="3" xfId="0" applyNumberFormat="1" applyFont="1" applyFill="1" applyBorder="1" applyAlignment="1">
      <x:alignment wrapText="1"/>
    </x:xf>
    <x:xf numFmtId="0" fontId="6" fillId="20" borderId="4" xfId="0" applyNumberFormat="1" applyFont="1" applyFill="1" applyBorder="1" applyAlignment="1">
      <x:alignment wrapText="1"/>
    </x:xf>
    <x:xf numFmtId="0" fontId="17" fillId="20" borderId="2" xfId="0" applyNumberFormat="1" applyFont="1" applyFill="1" applyBorder="1" applyAlignment="1">
      <x:alignment wrapText="1"/>
    </x:xf>
    <x:xf numFmtId="0" fontId="17" fillId="20" borderId="3" xfId="0" applyNumberFormat="1" applyFont="1" applyFill="1" applyBorder="1" applyAlignment="1">
      <x:alignment wrapText="1"/>
    </x:xf>
    <x:xf numFmtId="200" fontId="17" fillId="20" borderId="3" xfId="0" applyNumberFormat="1" applyFont="1" applyFill="1" applyBorder="1" applyAlignment="1">
      <x:alignment wrapText="1"/>
    </x:xf>
    <x:xf numFmtId="0" fontId="17" fillId="20" borderId="4" xfId="0" applyNumberFormat="1" applyFont="1" applyFill="1" applyBorder="1" applyAlignment="1">
      <x:alignment wrapText="1"/>
    </x:xf>
    <x:xf numFmtId="0" fontId="17" fillId="20" borderId="24" xfId="0" applyNumberFormat="1" applyFont="1" applyFill="1" applyBorder="1" applyAlignment="1">
      <x:alignment wrapText="1"/>
    </x:xf>
    <x:xf numFmtId="0" fontId="17" fillId="20" borderId="25" xfId="0" applyNumberFormat="1" applyFont="1" applyFill="1" applyBorder="1" applyAlignment="1">
      <x:alignment wrapText="1"/>
    </x:xf>
    <x:xf numFmtId="200" fontId="17" fillId="20" borderId="25" xfId="0" applyNumberFormat="1" applyFont="1" applyFill="1" applyBorder="1" applyAlignment="1">
      <x:alignment wrapText="1"/>
    </x:xf>
    <x:xf numFmtId="0" fontId="17" fillId="20" borderId="26" xfId="0" applyNumberFormat="1" applyFont="1" applyFill="1" applyBorder="1" applyAlignment="1">
      <x:alignment wrapText="1"/>
    </x:xf>
    <x:xf numFmtId="0" fontId="17" fillId="20" borderId="24" xfId="0" applyNumberFormat="1" applyFont="1" applyFill="1" applyBorder="1" applyAlignment="1">
      <x:alignment vertical="center" wrapText="1"/>
    </x:xf>
    <x:xf numFmtId="0" fontId="17" fillId="20" borderId="25" xfId="0" applyNumberFormat="1" applyFont="1" applyFill="1" applyBorder="1" applyAlignment="1">
      <x:alignment vertical="center" wrapText="1"/>
    </x:xf>
    <x:xf numFmtId="200" fontId="17" fillId="20" borderId="25" xfId="0" applyNumberFormat="1" applyFont="1" applyFill="1" applyBorder="1" applyAlignment="1">
      <x:alignment vertical="center" wrapText="1"/>
    </x:xf>
    <x:xf numFmtId="0" fontId="17" fillId="20" borderId="26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wrapText="1"/>
    </x:xf>
    <x:xf numFmtId="200" fontId="6" fillId="20" borderId="0" xfId="0" applyNumberFormat="1" applyFont="1" applyFill="1" applyBorder="1" applyAlignment="1">
      <x:alignment wrapText="1"/>
    </x:xf>
    <x:xf numFmtId="0" fontId="17" fillId="20" borderId="0" xfId="0" applyNumberFormat="1" applyFont="1" applyFill="1" applyBorder="1" applyAlignment="1">
      <x:alignment wrapText="1"/>
    </x:xf>
    <x:xf numFmtId="200" fontId="17" fillId="20" borderId="0" xfId="0" applyNumberFormat="1" applyFont="1" applyFill="1" applyBorder="1" applyAlignment="1">
      <x:alignment wrapText="1"/>
    </x:xf>
    <x:xf numFmtId="0" fontId="18" fillId="20" borderId="24" xfId="0" applyNumberFormat="1" applyFont="1" applyFill="1" applyBorder="1" applyAlignment="1">
      <x:alignment vertical="center" wrapText="1"/>
    </x:xf>
    <x:xf numFmtId="0" fontId="18" fillId="20" borderId="25" xfId="0" applyNumberFormat="1" applyFont="1" applyFill="1" applyBorder="1" applyAlignment="1">
      <x:alignment vertical="center" wrapText="1"/>
    </x:xf>
    <x:xf numFmtId="0" fontId="6" fillId="21" borderId="2" xfId="0" applyNumberFormat="1" applyFont="1" applyFill="1" applyBorder="1" applyAlignment="1">
      <x:alignment wrapText="1"/>
    </x:xf>
    <x:xf numFmtId="0" fontId="6" fillId="21" borderId="3" xfId="0" applyNumberFormat="1" applyFont="1" applyFill="1" applyBorder="1" applyAlignment="1">
      <x:alignment wrapText="1"/>
    </x:xf>
    <x:xf numFmtId="200" fontId="6" fillId="21" borderId="3" xfId="0" applyNumberFormat="1" applyFont="1" applyFill="1" applyBorder="1" applyAlignment="1">
      <x:alignment wrapText="1"/>
    </x:xf>
    <x:xf numFmtId="0" fontId="6" fillId="21" borderId="4" xfId="0" applyNumberFormat="1" applyFont="1" applyFill="1" applyBorder="1" applyAlignment="1">
      <x:alignment wrapText="1"/>
    </x:xf>
    <x:xf numFmtId="0" fontId="19" fillId="21" borderId="2" xfId="0" applyNumberFormat="1" applyFont="1" applyFill="1" applyBorder="1" applyAlignment="1">
      <x:alignment wrapText="1"/>
    </x:xf>
    <x:xf numFmtId="0" fontId="19" fillId="21" borderId="3" xfId="0" applyNumberFormat="1" applyFont="1" applyFill="1" applyBorder="1" applyAlignment="1">
      <x:alignment wrapText="1"/>
    </x:xf>
    <x:xf numFmtId="200" fontId="19" fillId="21" borderId="3" xfId="0" applyNumberFormat="1" applyFont="1" applyFill="1" applyBorder="1" applyAlignment="1">
      <x:alignment wrapText="1"/>
    </x:xf>
    <x:xf numFmtId="0" fontId="19" fillId="21" borderId="4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200" fontId="19" fillId="21" borderId="25" xfId="0" applyNumberFormat="1" applyFont="1" applyFill="1" applyBorder="1" applyAlignment="1">
      <x:alignment wrapText="1"/>
    </x:xf>
    <x:xf numFmtId="0" fontId="19" fillId="21" borderId="26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200" fontId="19" fillId="21" borderId="25" xfId="0" applyNumberFormat="1" applyFont="1" applyFill="1" applyBorder="1" applyAlignment="1">
      <x:alignment vertical="center" wrapText="1"/>
    </x:xf>
    <x:xf numFmtId="0" fontId="19" fillId="21" borderId="26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wrapText="1"/>
    </x:xf>
    <x:xf numFmtId="200" fontId="6" fillId="21" borderId="0" xfId="0" applyNumberFormat="1" applyFont="1" applyFill="1" applyBorder="1" applyAlignment="1">
      <x:alignment wrapText="1"/>
    </x:xf>
    <x:xf numFmtId="0" fontId="19" fillId="21" borderId="0" xfId="0" applyNumberFormat="1" applyFont="1" applyFill="1" applyBorder="1" applyAlignment="1">
      <x:alignment wrapText="1"/>
    </x:xf>
    <x:xf numFmtId="200" fontId="19" fillId="21" borderId="0" xfId="0" applyNumberFormat="1" applyFont="1" applyFill="1" applyBorder="1" applyAlignment="1">
      <x:alignment wrapText="1"/>
    </x:xf>
    <x:xf numFmtId="0" fontId="20" fillId="21" borderId="24" xfId="0" applyNumberFormat="1" applyFont="1" applyFill="1" applyBorder="1" applyAlignment="1">
      <x:alignment vertical="center" wrapText="1"/>
    </x:xf>
    <x:xf numFmtId="0" fontId="20" fillId="21" borderId="25" xfId="0" applyNumberFormat="1" applyFont="1" applyFill="1" applyBorder="1" applyAlignment="1">
      <x:alignment vertical="center" wrapText="1"/>
    </x:xf>
    <x:xf numFmtId="0" fontId="6" fillId="22" borderId="2" xfId="0" applyNumberFormat="1" applyFont="1" applyFill="1" applyBorder="1" applyAlignment="1">
      <x:alignment wrapText="1"/>
    </x:xf>
    <x:xf numFmtId="0" fontId="6" fillId="22" borderId="3" xfId="0" applyNumberFormat="1" applyFont="1" applyFill="1" applyBorder="1" applyAlignment="1">
      <x:alignment wrapText="1"/>
    </x:xf>
    <x:xf numFmtId="200" fontId="6" fillId="22" borderId="3" xfId="0" applyNumberFormat="1" applyFont="1" applyFill="1" applyBorder="1" applyAlignment="1">
      <x:alignment wrapText="1"/>
    </x:xf>
    <x:xf numFmtId="0" fontId="6" fillId="22" borderId="4" xfId="0" applyNumberFormat="1" applyFont="1" applyFill="1" applyBorder="1" applyAlignment="1">
      <x:alignment wrapText="1"/>
    </x:xf>
    <x:xf numFmtId="0" fontId="21" fillId="22" borderId="2" xfId="0" applyNumberFormat="1" applyFont="1" applyFill="1" applyBorder="1" applyAlignment="1">
      <x:alignment wrapText="1"/>
    </x:xf>
    <x:xf numFmtId="0" fontId="21" fillId="22" borderId="3" xfId="0" applyNumberFormat="1" applyFont="1" applyFill="1" applyBorder="1" applyAlignment="1">
      <x:alignment wrapText="1"/>
    </x:xf>
    <x:xf numFmtId="200" fontId="21" fillId="22" borderId="3" xfId="0" applyNumberFormat="1" applyFont="1" applyFill="1" applyBorder="1" applyAlignment="1">
      <x:alignment wrapText="1"/>
    </x:xf>
    <x:xf numFmtId="0" fontId="21" fillId="22" borderId="4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200" fontId="21" fillId="22" borderId="25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vertical="center" wrapText="1"/>
    </x:xf>
    <x:xf numFmtId="0" fontId="21" fillId="22" borderId="25" xfId="0" applyNumberFormat="1" applyFont="1" applyFill="1" applyBorder="1" applyAlignment="1">
      <x:alignment vertical="center" wrapText="1"/>
    </x:xf>
    <x:xf numFmtId="200" fontId="21" fillId="22" borderId="25" xfId="0" applyNumberFormat="1" applyFont="1" applyFill="1" applyBorder="1" applyAlignment="1">
      <x:alignment vertical="center" wrapText="1"/>
    </x:xf>
    <x:xf numFmtId="0" fontId="21" fillId="22" borderId="26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wrapText="1"/>
    </x:xf>
    <x:xf numFmtId="200" fontId="6" fillId="22" borderId="0" xfId="0" applyNumberFormat="1" applyFont="1" applyFill="1" applyBorder="1" applyAlignment="1">
      <x:alignment wrapText="1"/>
    </x:xf>
    <x:xf numFmtId="0" fontId="21" fillId="22" borderId="0" xfId="0" applyNumberFormat="1" applyFont="1" applyFill="1" applyBorder="1" applyAlignment="1">
      <x:alignment wrapText="1"/>
    </x:xf>
    <x:xf numFmtId="200" fontId="21" fillId="22" borderId="0" xfId="0" applyNumberFormat="1" applyFont="1" applyFill="1" applyBorder="1" applyAlignment="1">
      <x:alignment wrapText="1"/>
    </x:xf>
    <x:xf numFmtId="0" fontId="22" fillId="22" borderId="24" xfId="0" applyNumberFormat="1" applyFont="1" applyFill="1" applyBorder="1" applyAlignment="1">
      <x:alignment vertical="center" wrapText="1"/>
    </x:xf>
    <x:xf numFmtId="0" fontId="22" fillId="22" borderId="25" xfId="0" applyNumberFormat="1" applyFont="1" applyFill="1" applyBorder="1" applyAlignment="1">
      <x:alignment vertical="center" wrapText="1"/>
    </x:xf>
    <x:xf numFmtId="0" fontId="5" fillId="21" borderId="2" xfId="0" applyNumberFormat="1" applyFont="1" applyFill="1" applyBorder="1" applyAlignment="1">
      <x:alignment horizontal="center"/>
    </x:xf>
    <x:xf numFmtId="0" fontId="5" fillId="21" borderId="3" xfId="0" applyNumberFormat="1" applyFont="1" applyFill="1" applyBorder="1" applyAlignment="1">
      <x:alignment horizontal="center"/>
    </x:xf>
    <x:xf numFmtId="0" fontId="5" fillId="21" borderId="4" xfId="0" applyNumberFormat="1" applyFont="1" applyFill="1" applyBorder="1" applyAlignment="1">
      <x:alignment horizontal="center"/>
    </x:xf>
    <x:xf numFmtId="0" fontId="23" fillId="21" borderId="2" xfId="0" applyNumberFormat="1" applyFont="1" applyFill="1" applyBorder="1" applyAlignment="1">
      <x:alignment horizontal="center"/>
    </x:xf>
    <x:xf numFmtId="0" fontId="23" fillId="21" borderId="3" xfId="0" applyNumberFormat="1" applyFont="1" applyFill="1" applyBorder="1" applyAlignment="1">
      <x:alignment horizontal="center"/>
    </x:xf>
    <x:xf numFmtId="0" fontId="23" fillId="21" borderId="4" xfId="0" applyNumberFormat="1" applyFont="1" applyFill="1" applyBorder="1" applyAlignment="1">
      <x:alignment horizontal="center"/>
    </x:xf>
    <x:xf numFmtId="0" fontId="23" fillId="21" borderId="24" xfId="0" applyNumberFormat="1" applyFont="1" applyFill="1" applyBorder="1" applyAlignment="1">
      <x:alignment horizontal="center"/>
    </x:xf>
    <x:xf numFmtId="0" fontId="23" fillId="21" borderId="25" xfId="0" applyNumberFormat="1" applyFont="1" applyFill="1" applyBorder="1" applyAlignment="1">
      <x:alignment horizontal="center"/>
    </x:xf>
    <x:xf numFmtId="0" fontId="23" fillId="21" borderId="26" xfId="0" applyNumberFormat="1" applyFont="1" applyFill="1" applyBorder="1" applyAlignment="1">
      <x:alignment horizontal="center"/>
    </x:xf>
    <x:xf numFmtId="0" fontId="23" fillId="21" borderId="24" xfId="0" applyNumberFormat="1" applyFont="1" applyFill="1" applyBorder="1" applyAlignment="1">
      <x:alignment horizontal="center" vertical="center"/>
    </x:xf>
    <x:xf numFmtId="0" fontId="23" fillId="21" borderId="25" xfId="0" applyNumberFormat="1" applyFont="1" applyFill="1" applyBorder="1" applyAlignment="1">
      <x:alignment horizontal="center" vertical="center"/>
    </x:xf>
    <x:xf numFmtId="0" fontId="23" fillId="21" borderId="26" xfId="0" applyNumberFormat="1" applyFont="1" applyFill="1" applyBorder="1" applyAlignment="1">
      <x:alignment horizontal="center" vertical="center"/>
    </x:xf>
    <x:xf numFmtId="0" fontId="5" fillId="21" borderId="0" xfId="0" applyNumberFormat="1" applyFont="1" applyFill="1" applyBorder="1" applyAlignment="1">
      <x:alignment horizontal="center"/>
    </x:xf>
    <x:xf numFmtId="0" fontId="23" fillId="21" borderId="0" xfId="0" applyNumberFormat="1" applyFont="1" applyFill="1" applyBorder="1" applyAlignment="1">
      <x:alignment horizontal="center"/>
    </x:xf>
    <x:xf numFmtId="0" fontId="6" fillId="15" borderId="8" xfId="0" applyNumberFormat="1" applyFont="1" applyFill="1" applyBorder="1" applyAlignment="1">
      <x:alignment vertical="top" wrapText="1"/>
    </x:xf>
    <x:xf numFmtId="0" fontId="6" fillId="15" borderId="9" xfId="0" applyNumberFormat="1" applyFont="1" applyFill="1" applyBorder="1" applyAlignment="1">
      <x:alignment vertical="top" wrapText="1"/>
    </x:xf>
    <x:xf numFmtId="0" fontId="6" fillId="15" borderId="10" xfId="0" applyNumberFormat="1" applyFont="1" applyFill="1" applyBorder="1" applyAlignment="1">
      <x:alignment vertical="top" wrapText="1"/>
    </x:xf>
    <x:xf numFmtId="0" fontId="6" fillId="15" borderId="24" xfId="0" applyNumberFormat="1" applyFont="1" applyFill="1" applyBorder="1" applyAlignment="1">
      <x:alignment vertical="top" wrapText="1"/>
    </x:xf>
    <x:xf numFmtId="0" fontId="6" fillId="15" borderId="25" xfId="0" applyNumberFormat="1" applyFont="1" applyFill="1" applyBorder="1" applyAlignment="1">
      <x:alignment vertical="top" wrapText="1"/>
    </x:xf>
    <x:xf numFmtId="0" fontId="6" fillId="15" borderId="26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0" fontId="6" fillId="16" borderId="11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12" xfId="0" applyNumberFormat="1" applyFont="1" applyFill="1" applyBorder="1" applyAlignment="1">
      <x:alignment vertical="top" wrapText="1"/>
    </x:xf>
    <x:xf numFmtId="0" fontId="6" fillId="16" borderId="24" xfId="0" applyNumberFormat="1" applyFont="1" applyFill="1" applyBorder="1" applyAlignment="1">
      <x:alignment vertical="top" wrapText="1"/>
    </x:xf>
    <x:xf numFmtId="0" fontId="6" fillId="16" borderId="25" xfId="0" applyNumberFormat="1" applyFont="1" applyFill="1" applyBorder="1" applyAlignment="1">
      <x:alignment vertical="top" wrapText="1"/>
    </x:xf>
    <x:xf numFmtId="0" fontId="6" fillId="16" borderId="26" xfId="0" applyNumberFormat="1" applyFont="1" applyFill="1" applyBorder="1" applyAlignment="1">
      <x:alignment vertical="top" wrapText="1"/>
    </x:xf>
    <x:xf numFmtId="0" fontId="6" fillId="17" borderId="11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6" fillId="17" borderId="12" xfId="0" applyNumberFormat="1" applyFont="1" applyFill="1" applyBorder="1" applyAlignment="1">
      <x:alignment vertical="top" wrapText="1"/>
    </x:xf>
    <x:xf numFmtId="0" fontId="6" fillId="17" borderId="24" xfId="0" applyNumberFormat="1" applyFont="1" applyFill="1" applyBorder="1" applyAlignment="1">
      <x:alignment vertical="top" wrapText="1"/>
    </x:xf>
    <x:xf numFmtId="0" fontId="6" fillId="17" borderId="25" xfId="0" applyNumberFormat="1" applyFont="1" applyFill="1" applyBorder="1" applyAlignment="1">
      <x:alignment vertical="top" wrapText="1"/>
    </x:xf>
    <x:xf numFmtId="0" fontId="6" fillId="17" borderId="26" xfId="0" applyNumberFormat="1" applyFont="1" applyFill="1" applyBorder="1" applyAlignment="1">
      <x:alignment vertical="top" wrapText="1"/>
    </x:xf>
    <x:xf numFmtId="0" fontId="6" fillId="18" borderId="11" xfId="0" applyNumberFormat="1" applyFont="1" applyFill="1" applyBorder="1" applyAlignment="1">
      <x:alignment vertical="top" wrapText="1"/>
    </x:xf>
    <x:xf numFmtId="0" fontId="6" fillId="18" borderId="0" xfId="0" applyNumberFormat="1" applyFont="1" applyFill="1" applyBorder="1" applyAlignment="1">
      <x:alignment vertical="top" wrapText="1"/>
    </x:xf>
    <x:xf numFmtId="0" fontId="6" fillId="18" borderId="12" xfId="0" applyNumberFormat="1" applyFont="1" applyFill="1" applyBorder="1" applyAlignment="1">
      <x:alignment vertical="top" wrapText="1"/>
    </x:xf>
    <x:xf numFmtId="0" fontId="6" fillId="18" borderId="24" xfId="0" applyNumberFormat="1" applyFont="1" applyFill="1" applyBorder="1" applyAlignment="1">
      <x:alignment vertical="top" wrapText="1"/>
    </x:xf>
    <x:xf numFmtId="0" fontId="6" fillId="18" borderId="25" xfId="0" applyNumberFormat="1" applyFont="1" applyFill="1" applyBorder="1" applyAlignment="1">
      <x:alignment vertical="top" wrapText="1"/>
    </x:xf>
    <x:xf numFmtId="0" fontId="6" fillId="18" borderId="26" xfId="0" applyNumberFormat="1" applyFont="1" applyFill="1" applyBorder="1" applyAlignment="1">
      <x:alignment vertical="top" wrapText="1"/>
    </x:xf>
    <x:xf numFmtId="0" fontId="6" fillId="20" borderId="11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0" borderId="12" xfId="0" applyNumberFormat="1" applyFont="1" applyFill="1" applyBorder="1" applyAlignment="1">
      <x:alignment vertical="top" wrapText="1"/>
    </x:xf>
    <x:xf numFmtId="0" fontId="6" fillId="20" borderId="24" xfId="0" applyNumberFormat="1" applyFont="1" applyFill="1" applyBorder="1" applyAlignment="1">
      <x:alignment vertical="top" wrapText="1"/>
    </x:xf>
    <x:xf numFmtId="0" fontId="6" fillId="20" borderId="25" xfId="0" applyNumberFormat="1" applyFont="1" applyFill="1" applyBorder="1" applyAlignment="1">
      <x:alignment vertical="top" wrapText="1"/>
    </x:xf>
    <x:xf numFmtId="0" fontId="6" fillId="20" borderId="26" xfId="0" applyNumberFormat="1" applyFont="1" applyFill="1" applyBorder="1" applyAlignment="1">
      <x:alignment vertical="top" wrapText="1"/>
    </x:xf>
    <x:xf numFmtId="0" fontId="6" fillId="21" borderId="11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1" borderId="12" xfId="0" applyNumberFormat="1" applyFont="1" applyFill="1" applyBorder="1" applyAlignment="1">
      <x:alignment vertical="top" wrapText="1"/>
    </x:xf>
    <x:xf numFmtId="0" fontId="6" fillId="21" borderId="24" xfId="0" applyNumberFormat="1" applyFont="1" applyFill="1" applyBorder="1" applyAlignment="1">
      <x:alignment vertical="top" wrapText="1"/>
    </x:xf>
    <x:xf numFmtId="0" fontId="6" fillId="21" borderId="25" xfId="0" applyNumberFormat="1" applyFont="1" applyFill="1" applyBorder="1" applyAlignment="1">
      <x:alignment vertical="top" wrapText="1"/>
    </x:xf>
    <x:xf numFmtId="0" fontId="6" fillId="21" borderId="26" xfId="0" applyNumberFormat="1" applyFont="1" applyFill="1" applyBorder="1" applyAlignment="1">
      <x:alignment vertical="top" wrapText="1"/>
    </x:xf>
    <x:xf numFmtId="0" fontId="6" fillId="22" borderId="13" xfId="0" applyNumberFormat="1" applyFont="1" applyFill="1" applyBorder="1" applyAlignment="1">
      <x:alignment vertical="top" wrapText="1"/>
    </x:xf>
    <x:xf numFmtId="0" fontId="6" fillId="22" borderId="14" xfId="0" applyNumberFormat="1" applyFont="1" applyFill="1" applyBorder="1" applyAlignment="1">
      <x:alignment vertical="top" wrapText="1"/>
    </x:xf>
    <x:xf numFmtId="0" fontId="6" fillId="22" borderId="15" xfId="0" applyNumberFormat="1" applyFont="1" applyFill="1" applyBorder="1" applyAlignment="1">
      <x:alignment vertical="top" wrapText="1"/>
    </x:xf>
    <x:xf numFmtId="0" fontId="6" fillId="22" borderId="24" xfId="0" applyNumberFormat="1" applyFont="1" applyFill="1" applyBorder="1" applyAlignment="1">
      <x:alignment vertical="top" wrapText="1"/>
    </x:xf>
    <x:xf numFmtId="0" fontId="6" fillId="22" borderId="25" xfId="0" applyNumberFormat="1" applyFont="1" applyFill="1" applyBorder="1" applyAlignment="1">
      <x:alignment vertical="top" wrapText="1"/>
    </x:xf>
    <x:xf numFmtId="0" fontId="6" fillId="22" borderId="26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18" borderId="0" xfId="0" applyNumberFormat="1" applyFont="1" applyFill="1" applyBorder="1"/>
    <x:xf numFmtId="0" fontId="24" fillId="18" borderId="0" xfId="0" applyNumberFormat="1" applyFont="1" applyFill="1" applyBorder="1"/>
    <x:xf numFmtId="0" fontId="24" fillId="18" borderId="24" xfId="0" applyNumberFormat="1" applyFont="1" applyFill="1" applyBorder="1"/>
    <x:xf numFmtId="0" fontId="24" fillId="18" borderId="25" xfId="0" applyNumberFormat="1" applyFont="1" applyFill="1" applyBorder="1"/>
    <x:xf numFmtId="0" fontId="24" fillId="18" borderId="26" xfId="0" applyNumberFormat="1" applyFont="1" applyFill="1" applyBorder="1"/>
    <x:xf numFmtId="0" fontId="24" fillId="18" borderId="24" xfId="0" applyNumberFormat="1" applyFont="1" applyFill="1" applyBorder="1" applyAlignment="1">
      <x:alignment horizontal="center"/>
    </x:xf>
    <x:xf numFmtId="0" fontId="24" fillId="18" borderId="25" xfId="0" applyNumberFormat="1" applyFont="1" applyFill="1" applyBorder="1" applyAlignment="1">
      <x:alignment horizontal="center"/>
    </x:xf>
    <x:xf numFmtId="0" fontId="24" fillId="18" borderId="26" xfId="0" applyNumberFormat="1" applyFont="1" applyFill="1" applyBorder="1" applyAlignment="1">
      <x:alignment horizontal="center"/>
    </x:xf>
    <x:xf numFmtId="0" fontId="24" fillId="18" borderId="24" xfId="0" applyNumberFormat="1" applyFont="1" applyFill="1" applyBorder="1" applyAlignment="1">
      <x:alignment horizontal="center" vertical="center"/>
    </x:xf>
    <x:xf numFmtId="0" fontId="24" fillId="18" borderId="25" xfId="0" applyNumberFormat="1" applyFont="1" applyFill="1" applyBorder="1" applyAlignment="1">
      <x:alignment horizontal="center" vertical="center"/>
    </x:xf>
    <x:xf numFmtId="0" fontId="24" fillId="18" borderId="26" xfId="0" applyNumberFormat="1" applyFont="1" applyFill="1" applyBorder="1" applyAlignment="1">
      <x:alignment horizontal="center" vertical="center"/>
    </x:xf>
    <x:xf numFmtId="0" fontId="6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24" xfId="0" applyNumberFormat="1" applyFont="1" applyFill="1" applyBorder="1"/>
    <x:xf numFmtId="0" fontId="10" fillId="19" borderId="25" xfId="0" applyNumberFormat="1" applyFont="1" applyFill="1" applyBorder="1"/>
    <x:xf numFmtId="0" fontId="10" fillId="19" borderId="26" xfId="0" applyNumberFormat="1" applyFont="1" applyFill="1" applyBorder="1"/>
    <x:xf numFmtId="0" fontId="10" fillId="19" borderId="24" xfId="0" applyNumberFormat="1" applyFont="1" applyFill="1" applyBorder="1" applyAlignment="1">
      <x:alignment horizontal="left"/>
    </x:xf>
    <x:xf numFmtId="0" fontId="10" fillId="19" borderId="25" xfId="0" applyNumberFormat="1" applyFont="1" applyFill="1" applyBorder="1" applyAlignment="1">
      <x:alignment horizontal="left"/>
    </x:xf>
    <x:xf numFmtId="0" fontId="10" fillId="19" borderId="26" xfId="0" applyNumberFormat="1" applyFont="1" applyFill="1" applyBorder="1" applyAlignment="1">
      <x:alignment horizontal="left"/>
    </x:xf>
    <x:xf numFmtId="0" fontId="10" fillId="19" borderId="24" xfId="0" applyNumberFormat="1" applyFont="1" applyFill="1" applyBorder="1" applyAlignment="1">
      <x:alignment horizontal="left" vertical="center"/>
    </x:xf>
    <x:xf numFmtId="0" fontId="10" fillId="19" borderId="25" xfId="0" applyNumberFormat="1" applyFont="1" applyFill="1" applyBorder="1" applyAlignment="1">
      <x:alignment horizontal="left" vertical="center"/>
    </x:xf>
    <x:xf numFmtId="0" fontId="10" fillId="19" borderId="26" xfId="0" applyNumberFormat="1" applyFont="1" applyFill="1" applyBorder="1" applyAlignment="1">
      <x:alignment horizontal="left" vertical="center"/>
    </x:xf>
    <x:xf numFmtId="0" fontId="6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24" xfId="0" applyNumberFormat="1" applyFont="1" applyFill="1" applyBorder="1"/>
    <x:xf numFmtId="0" fontId="12" fillId="16" borderId="25" xfId="0" applyNumberFormat="1" applyFont="1" applyFill="1" applyBorder="1"/>
    <x:xf numFmtId="0" fontId="12" fillId="16" borderId="26" xfId="0" applyNumberFormat="1" applyFont="1" applyFill="1" applyBorder="1"/>
    <x:xf numFmtId="0" fontId="12" fillId="16" borderId="24" xfId="0" applyNumberFormat="1" applyFont="1" applyFill="1" applyBorder="1" applyAlignment="1">
      <x:alignment horizontal="left"/>
    </x:xf>
    <x:xf numFmtId="0" fontId="12" fillId="16" borderId="25" xfId="0" applyNumberFormat="1" applyFont="1" applyFill="1" applyBorder="1" applyAlignment="1">
      <x:alignment horizontal="left"/>
    </x:xf>
    <x:xf numFmtId="0" fontId="12" fillId="16" borderId="26" xfId="0" applyNumberFormat="1" applyFont="1" applyFill="1" applyBorder="1" applyAlignment="1">
      <x:alignment horizontal="left"/>
    </x:xf>
    <x:xf numFmtId="0" fontId="12" fillId="16" borderId="24" xfId="0" applyNumberFormat="1" applyFont="1" applyFill="1" applyBorder="1" applyAlignment="1">
      <x:alignment horizontal="left" vertical="center"/>
    </x:xf>
    <x:xf numFmtId="0" fontId="12" fillId="16" borderId="25" xfId="0" applyNumberFormat="1" applyFont="1" applyFill="1" applyBorder="1" applyAlignment="1">
      <x:alignment horizontal="left" vertical="center"/>
    </x:xf>
    <x:xf numFmtId="0" fontId="12" fillId="16" borderId="26" xfId="0" applyNumberFormat="1" applyFont="1" applyFill="1" applyBorder="1" applyAlignment="1">
      <x:alignment horizontal="left" vertical="center"/>
    </x:xf>
    <x:xf numFmtId="0" fontId="6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24" xfId="0" applyNumberFormat="1" applyFont="1" applyFill="1" applyBorder="1"/>
    <x:xf numFmtId="0" fontId="14" fillId="17" borderId="25" xfId="0" applyNumberFormat="1" applyFont="1" applyFill="1" applyBorder="1"/>
    <x:xf numFmtId="0" fontId="14" fillId="17" borderId="26" xfId="0" applyNumberFormat="1" applyFont="1" applyFill="1" applyBorder="1"/>
    <x:xf numFmtId="0" fontId="14" fillId="17" borderId="24" xfId="0" applyNumberFormat="1" applyFont="1" applyFill="1" applyBorder="1" applyAlignment="1">
      <x:alignment horizontal="left"/>
    </x:xf>
    <x:xf numFmtId="0" fontId="14" fillId="17" borderId="25" xfId="0" applyNumberFormat="1" applyFont="1" applyFill="1" applyBorder="1" applyAlignment="1">
      <x:alignment horizontal="left"/>
    </x:xf>
    <x:xf numFmtId="0" fontId="14" fillId="17" borderId="26" xfId="0" applyNumberFormat="1" applyFont="1" applyFill="1" applyBorder="1" applyAlignment="1">
      <x:alignment horizontal="left"/>
    </x:xf>
    <x:xf numFmtId="0" fontId="14" fillId="17" borderId="24" xfId="0" applyNumberFormat="1" applyFont="1" applyFill="1" applyBorder="1" applyAlignment="1">
      <x:alignment horizontal="left" vertical="center"/>
    </x:xf>
    <x:xf numFmtId="0" fontId="14" fillId="17" borderId="25" xfId="0" applyNumberFormat="1" applyFont="1" applyFill="1" applyBorder="1" applyAlignment="1">
      <x:alignment horizontal="left" vertical="center"/>
    </x:xf>
    <x:xf numFmtId="0" fontId="14" fillId="17" borderId="26" xfId="0" applyNumberFormat="1" applyFont="1" applyFill="1" applyBorder="1" applyAlignment="1">
      <x:alignment horizontal="left" vertical="center"/>
    </x:xf>
    <x:xf numFmtId="0" fontId="16" fillId="18" borderId="0" xfId="0" applyNumberFormat="1" applyFont="1" applyFill="1" applyBorder="1"/>
    <x:xf numFmtId="0" fontId="16" fillId="18" borderId="24" xfId="0" applyNumberFormat="1" applyFont="1" applyFill="1" applyBorder="1"/>
    <x:xf numFmtId="0" fontId="16" fillId="18" borderId="25" xfId="0" applyNumberFormat="1" applyFont="1" applyFill="1" applyBorder="1"/>
    <x:xf numFmtId="0" fontId="16" fillId="18" borderId="26" xfId="0" applyNumberFormat="1" applyFont="1" applyFill="1" applyBorder="1"/>
    <x:xf numFmtId="0" fontId="16" fillId="18" borderId="24" xfId="0" applyNumberFormat="1" applyFont="1" applyFill="1" applyBorder="1" applyAlignment="1">
      <x:alignment horizontal="left"/>
    </x:xf>
    <x:xf numFmtId="0" fontId="16" fillId="18" borderId="25" xfId="0" applyNumberFormat="1" applyFont="1" applyFill="1" applyBorder="1" applyAlignment="1">
      <x:alignment horizontal="left"/>
    </x:xf>
    <x:xf numFmtId="0" fontId="16" fillId="18" borderId="26" xfId="0" applyNumberFormat="1" applyFont="1" applyFill="1" applyBorder="1" applyAlignment="1">
      <x:alignment horizontal="left"/>
    </x:xf>
    <x:xf numFmtId="0" fontId="16" fillId="18" borderId="24" xfId="0" applyNumberFormat="1" applyFont="1" applyFill="1" applyBorder="1" applyAlignment="1">
      <x:alignment horizontal="left" vertical="center"/>
    </x:xf>
    <x:xf numFmtId="0" fontId="16" fillId="18" borderId="25" xfId="0" applyNumberFormat="1" applyFont="1" applyFill="1" applyBorder="1" applyAlignment="1">
      <x:alignment horizontal="left" vertical="center"/>
    </x:xf>
    <x:xf numFmtId="0" fontId="16" fillId="18" borderId="26" xfId="0" applyNumberFormat="1" applyFont="1" applyFill="1" applyBorder="1" applyAlignment="1">
      <x:alignment horizontal="left" vertical="center"/>
    </x:xf>
    <x:xf numFmtId="0" fontId="6" fillId="20" borderId="0" xfId="0" applyNumberFormat="1" applyFont="1" applyFill="1" applyBorder="1"/>
    <x:xf numFmtId="0" fontId="18" fillId="20" borderId="0" xfId="0" applyNumberFormat="1" applyFont="1" applyFill="1" applyBorder="1"/>
    <x:xf numFmtId="0" fontId="18" fillId="20" borderId="24" xfId="0" applyNumberFormat="1" applyFont="1" applyFill="1" applyBorder="1"/>
    <x:xf numFmtId="0" fontId="18" fillId="20" borderId="25" xfId="0" applyNumberFormat="1" applyFont="1" applyFill="1" applyBorder="1"/>
    <x:xf numFmtId="0" fontId="18" fillId="20" borderId="26" xfId="0" applyNumberFormat="1" applyFont="1" applyFill="1" applyBorder="1"/>
    <x:xf numFmtId="0" fontId="18" fillId="20" borderId="24" xfId="0" applyNumberFormat="1" applyFont="1" applyFill="1" applyBorder="1" applyAlignment="1">
      <x:alignment horizontal="left"/>
    </x:xf>
    <x:xf numFmtId="0" fontId="18" fillId="20" borderId="25" xfId="0" applyNumberFormat="1" applyFont="1" applyFill="1" applyBorder="1" applyAlignment="1">
      <x:alignment horizontal="left"/>
    </x:xf>
    <x:xf numFmtId="0" fontId="18" fillId="20" borderId="26" xfId="0" applyNumberFormat="1" applyFont="1" applyFill="1" applyBorder="1" applyAlignment="1">
      <x:alignment horizontal="left"/>
    </x:xf>
    <x:xf numFmtId="0" fontId="18" fillId="20" borderId="24" xfId="0" applyNumberFormat="1" applyFont="1" applyFill="1" applyBorder="1" applyAlignment="1">
      <x:alignment horizontal="left" vertical="center"/>
    </x:xf>
    <x:xf numFmtId="0" fontId="18" fillId="20" borderId="25" xfId="0" applyNumberFormat="1" applyFont="1" applyFill="1" applyBorder="1" applyAlignment="1">
      <x:alignment horizontal="left" vertical="center"/>
    </x:xf>
    <x:xf numFmtId="0" fontId="18" fillId="20" borderId="26" xfId="0" applyNumberFormat="1" applyFont="1" applyFill="1" applyBorder="1" applyAlignment="1">
      <x:alignment horizontal="left" vertical="center"/>
    </x:xf>
    <x:xf numFmtId="0" fontId="6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24" xfId="0" applyNumberFormat="1" applyFont="1" applyFill="1" applyBorder="1"/>
    <x:xf numFmtId="0" fontId="20" fillId="21" borderId="25" xfId="0" applyNumberFormat="1" applyFont="1" applyFill="1" applyBorder="1"/>
    <x:xf numFmtId="0" fontId="20" fillId="21" borderId="26" xfId="0" applyNumberFormat="1" applyFont="1" applyFill="1" applyBorder="1"/>
    <x:xf numFmtId="0" fontId="20" fillId="21" borderId="24" xfId="0" applyNumberFormat="1" applyFont="1" applyFill="1" applyBorder="1" applyAlignment="1">
      <x:alignment horizontal="left"/>
    </x:xf>
    <x:xf numFmtId="0" fontId="20" fillId="21" borderId="25" xfId="0" applyNumberFormat="1" applyFont="1" applyFill="1" applyBorder="1" applyAlignment="1">
      <x:alignment horizontal="left"/>
    </x:xf>
    <x:xf numFmtId="0" fontId="20" fillId="21" borderId="26" xfId="0" applyNumberFormat="1" applyFont="1" applyFill="1" applyBorder="1" applyAlignment="1">
      <x:alignment horizontal="left"/>
    </x:xf>
    <x:xf numFmtId="0" fontId="20" fillId="21" borderId="24" xfId="0" applyNumberFormat="1" applyFont="1" applyFill="1" applyBorder="1" applyAlignment="1">
      <x:alignment horizontal="left" vertical="center"/>
    </x:xf>
    <x:xf numFmtId="0" fontId="20" fillId="21" borderId="25" xfId="0" applyNumberFormat="1" applyFont="1" applyFill="1" applyBorder="1" applyAlignment="1">
      <x:alignment horizontal="left" vertical="center"/>
    </x:xf>
    <x:xf numFmtId="0" fontId="20" fillId="21" borderId="26" xfId="0" applyNumberFormat="1" applyFont="1" applyFill="1" applyBorder="1" applyAlignment="1">
      <x:alignment horizontal="left" vertical="center"/>
    </x:xf>
    <x:xf numFmtId="0" fontId="6" fillId="22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24" xfId="0" applyNumberFormat="1" applyFont="1" applyFill="1" applyBorder="1"/>
    <x:xf numFmtId="0" fontId="22" fillId="22" borderId="25" xfId="0" applyNumberFormat="1" applyFont="1" applyFill="1" applyBorder="1"/>
    <x:xf numFmtId="0" fontId="22" fillId="22" borderId="26" xfId="0" applyNumberFormat="1" applyFont="1" applyFill="1" applyBorder="1"/>
    <x:xf numFmtId="0" fontId="22" fillId="22" borderId="24" xfId="0" applyNumberFormat="1" applyFont="1" applyFill="1" applyBorder="1" applyAlignment="1">
      <x:alignment horizontal="left"/>
    </x:xf>
    <x:xf numFmtId="0" fontId="22" fillId="22" borderId="25" xfId="0" applyNumberFormat="1" applyFont="1" applyFill="1" applyBorder="1" applyAlignment="1">
      <x:alignment horizontal="left"/>
    </x:xf>
    <x:xf numFmtId="0" fontId="22" fillId="22" borderId="26" xfId="0" applyNumberFormat="1" applyFont="1" applyFill="1" applyBorder="1" applyAlignment="1">
      <x:alignment horizontal="left"/>
    </x:xf>
    <x:xf numFmtId="0" fontId="22" fillId="22" borderId="24" xfId="0" applyNumberFormat="1" applyFont="1" applyFill="1" applyBorder="1" applyAlignment="1">
      <x:alignment horizontal="left" vertical="center"/>
    </x:xf>
    <x:xf numFmtId="0" fontId="22" fillId="22" borderId="25" xfId="0" applyNumberFormat="1" applyFont="1" applyFill="1" applyBorder="1" applyAlignment="1">
      <x:alignment horizontal="left" vertical="center"/>
    </x:xf>
    <x:xf numFmtId="0" fontId="22" fillId="22" borderId="26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13" borderId="0" xfId="0" applyNumberFormat="1" applyFont="1" applyFill="1" applyBorder="1" applyAlignment="1">
      <x:alignment horizontal="center" vertical="top"/>
    </x:xf>
    <x:xf numFmtId="0" fontId="25" fillId="13" borderId="0" xfId="0" applyNumberFormat="1" applyFont="1" applyFill="1" applyBorder="1" applyAlignment="1">
      <x:alignment horizontal="center" vertical="top"/>
    </x:xf>
    <x:xf numFmtId="0" fontId="25" fillId="13" borderId="24" xfId="0" applyNumberFormat="1" applyFont="1" applyFill="1" applyBorder="1" applyAlignment="1">
      <x:alignment horizontal="center" vertical="top"/>
    </x:xf>
    <x:xf numFmtId="0" fontId="25" fillId="13" borderId="25" xfId="0" applyNumberFormat="1" applyFont="1" applyFill="1" applyBorder="1" applyAlignment="1">
      <x:alignment horizontal="center" vertical="top"/>
    </x:xf>
    <x:xf numFmtId="0" fontId="25" fillId="13" borderId="26" xfId="0" applyNumberFormat="1" applyFont="1" applyFill="1" applyBorder="1" applyAlignment="1">
      <x:alignment horizontal="center" vertical="top"/>
    </x:xf>
    <x:xf numFmtId="0" fontId="25" fillId="13" borderId="24" xfId="0" applyNumberFormat="1" applyFont="1" applyFill="1" applyBorder="1" applyAlignment="1">
      <x:alignment horizontal="center" vertical="center"/>
    </x:xf>
    <x:xf numFmtId="0" fontId="25" fillId="13" borderId="25" xfId="0" applyNumberFormat="1" applyFont="1" applyFill="1" applyBorder="1" applyAlignment="1">
      <x:alignment horizontal="center" vertical="center"/>
    </x:xf>
    <x:xf numFmtId="0" fontId="25" fillId="13" borderId="26" xfId="0" applyNumberFormat="1" applyFont="1" applyFill="1" applyBorder="1" applyAlignment="1">
      <x:alignment horizontal="center" vertical="center"/>
    </x:xf>
    <x:xf numFmtId="0" fontId="5" fillId="15" borderId="2" xfId="0" applyNumberFormat="1" applyFont="1" applyFill="1" applyBorder="1" applyAlignment="1">
      <x:alignment horizontal="center" vertical="top" wrapText="1"/>
    </x:xf>
    <x:xf numFmtId="0" fontId="5" fillId="15" borderId="3" xfId="0" applyNumberFormat="1" applyFont="1" applyFill="1" applyBorder="1" applyAlignment="1">
      <x:alignment horizontal="center" vertical="top" wrapText="1"/>
    </x:xf>
    <x:xf numFmtId="0" fontId="5" fillId="15" borderId="24" xfId="0" applyNumberFormat="1" applyFont="1" applyFill="1" applyBorder="1" applyAlignment="1">
      <x:alignment horizontal="center" vertical="top" wrapText="1"/>
    </x:xf>
    <x:xf numFmtId="0" fontId="5" fillId="15" borderId="25" xfId="0" applyNumberFormat="1" applyFont="1" applyFill="1" applyBorder="1" applyAlignment="1">
      <x:alignment horizontal="center" vertical="top" wrapText="1"/>
    </x:xf>
    <x:xf numFmtId="0" fontId="5" fillId="15" borderId="26" xfId="0" applyNumberFormat="1" applyFont="1" applyFill="1" applyBorder="1" applyAlignment="1">
      <x:alignment horizontal="center" vertical="top" wrapText="1"/>
    </x:xf>
    <x:xf numFmtId="0" fontId="5" fillId="15" borderId="24" xfId="0" applyNumberFormat="1" applyFont="1" applyFill="1" applyBorder="1" applyAlignment="1">
      <x:alignment horizontal="center" vertical="center" wrapText="1"/>
    </x:xf>
    <x:xf numFmtId="0" fontId="5" fillId="15" borderId="25" xfId="0" applyNumberFormat="1" applyFont="1" applyFill="1" applyBorder="1" applyAlignment="1">
      <x:alignment horizontal="center" vertical="center" wrapText="1"/>
    </x:xf>
    <x:xf numFmtId="0" fontId="5" fillId="15" borderId="26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top" wrapText="1"/>
    </x:xf>
    <x:xf numFmtId="0" fontId="5" fillId="16" borderId="3" xfId="0" applyNumberFormat="1" applyFont="1" applyFill="1" applyBorder="1" applyAlignment="1">
      <x:alignment horizontal="center" vertical="top" wrapText="1"/>
    </x:xf>
    <x:xf numFmtId="0" fontId="5" fillId="16" borderId="24" xfId="0" applyNumberFormat="1" applyFont="1" applyFill="1" applyBorder="1" applyAlignment="1">
      <x:alignment horizontal="center" vertical="top" wrapText="1"/>
    </x:xf>
    <x:xf numFmtId="0" fontId="5" fillId="16" borderId="25" xfId="0" applyNumberFormat="1" applyFont="1" applyFill="1" applyBorder="1" applyAlignment="1">
      <x:alignment horizontal="center" vertical="top" wrapText="1"/>
    </x:xf>
    <x:xf numFmtId="0" fontId="5" fillId="16" borderId="26" xfId="0" applyNumberFormat="1" applyFont="1" applyFill="1" applyBorder="1" applyAlignment="1">
      <x:alignment horizontal="center" vertical="top" wrapText="1"/>
    </x:xf>
    <x:xf numFmtId="0" fontId="5" fillId="16" borderId="24" xfId="0" applyNumberFormat="1" applyFont="1" applyFill="1" applyBorder="1" applyAlignment="1">
      <x:alignment horizontal="center" vertical="center" wrapText="1"/>
    </x:xf>
    <x:xf numFmtId="0" fontId="5" fillId="16" borderId="25" xfId="0" applyNumberFormat="1" applyFont="1" applyFill="1" applyBorder="1" applyAlignment="1">
      <x:alignment horizontal="center" vertical="center" wrapText="1"/>
    </x:xf>
    <x:xf numFmtId="0" fontId="5" fillId="16" borderId="26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top" wrapText="1"/>
    </x:xf>
    <x:xf numFmtId="0" fontId="5" fillId="17" borderId="3" xfId="0" applyNumberFormat="1" applyFont="1" applyFill="1" applyBorder="1" applyAlignment="1">
      <x:alignment horizontal="center" vertical="top" wrapText="1"/>
    </x:xf>
    <x:xf numFmtId="0" fontId="5" fillId="17" borderId="24" xfId="0" applyNumberFormat="1" applyFont="1" applyFill="1" applyBorder="1" applyAlignment="1">
      <x:alignment horizontal="center" vertical="top" wrapText="1"/>
    </x:xf>
    <x:xf numFmtId="0" fontId="5" fillId="17" borderId="25" xfId="0" applyNumberFormat="1" applyFont="1" applyFill="1" applyBorder="1" applyAlignment="1">
      <x:alignment horizontal="center" vertical="top" wrapText="1"/>
    </x:xf>
    <x:xf numFmtId="0" fontId="5" fillId="17" borderId="26" xfId="0" applyNumberFormat="1" applyFont="1" applyFill="1" applyBorder="1" applyAlignment="1">
      <x:alignment horizontal="center" vertical="top" wrapText="1"/>
    </x:xf>
    <x:xf numFmtId="0" fontId="5" fillId="17" borderId="24" xfId="0" applyNumberFormat="1" applyFont="1" applyFill="1" applyBorder="1" applyAlignment="1">
      <x:alignment horizontal="center" vertical="center" wrapText="1"/>
    </x:xf>
    <x:xf numFmtId="0" fontId="5" fillId="17" borderId="25" xfId="0" applyNumberFormat="1" applyFont="1" applyFill="1" applyBorder="1" applyAlignment="1">
      <x:alignment horizontal="center" vertical="center" wrapText="1"/>
    </x:xf>
    <x:xf numFmtId="0" fontId="5" fillId="17" borderId="26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top" wrapText="1"/>
    </x:xf>
    <x:xf numFmtId="0" fontId="5" fillId="18" borderId="3" xfId="0" applyNumberFormat="1" applyFont="1" applyFill="1" applyBorder="1" applyAlignment="1">
      <x:alignment horizontal="center" vertical="top" wrapText="1"/>
    </x:xf>
    <x:xf numFmtId="0" fontId="5" fillId="18" borderId="24" xfId="0" applyNumberFormat="1" applyFont="1" applyFill="1" applyBorder="1" applyAlignment="1">
      <x:alignment horizontal="center" vertical="top" wrapText="1"/>
    </x:xf>
    <x:xf numFmtId="0" fontId="5" fillId="18" borderId="25" xfId="0" applyNumberFormat="1" applyFont="1" applyFill="1" applyBorder="1" applyAlignment="1">
      <x:alignment horizontal="center" vertical="top" wrapText="1"/>
    </x:xf>
    <x:xf numFmtId="0" fontId="5" fillId="18" borderId="26" xfId="0" applyNumberFormat="1" applyFont="1" applyFill="1" applyBorder="1" applyAlignment="1">
      <x:alignment horizontal="center" vertical="top" wrapText="1"/>
    </x:xf>
    <x:xf numFmtId="0" fontId="5" fillId="18" borderId="24" xfId="0" applyNumberFormat="1" applyFont="1" applyFill="1" applyBorder="1" applyAlignment="1">
      <x:alignment horizontal="center" vertical="center" wrapText="1"/>
    </x:xf>
    <x:xf numFmtId="0" fontId="5" fillId="18" borderId="25" xfId="0" applyNumberFormat="1" applyFont="1" applyFill="1" applyBorder="1" applyAlignment="1">
      <x:alignment horizontal="center" vertical="center" wrapText="1"/>
    </x:xf>
    <x:xf numFmtId="0" fontId="5" fillId="18" borderId="26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top" wrapText="1"/>
    </x:xf>
    <x:xf numFmtId="0" fontId="5" fillId="20" borderId="3" xfId="0" applyNumberFormat="1" applyFont="1" applyFill="1" applyBorder="1" applyAlignment="1">
      <x:alignment horizontal="center" vertical="top" wrapText="1"/>
    </x:xf>
    <x:xf numFmtId="0" fontId="5" fillId="20" borderId="4" xfId="0" applyNumberFormat="1" applyFont="1" applyFill="1" applyBorder="1" applyAlignment="1">
      <x:alignment horizontal="center" vertical="top" wrapText="1"/>
    </x:xf>
    <x:xf numFmtId="0" fontId="5" fillId="20" borderId="24" xfId="0" applyNumberFormat="1" applyFont="1" applyFill="1" applyBorder="1" applyAlignment="1">
      <x:alignment horizontal="center" vertical="top" wrapText="1"/>
    </x:xf>
    <x:xf numFmtId="0" fontId="5" fillId="20" borderId="25" xfId="0" applyNumberFormat="1" applyFont="1" applyFill="1" applyBorder="1" applyAlignment="1">
      <x:alignment horizontal="center" vertical="top" wrapText="1"/>
    </x:xf>
    <x:xf numFmtId="0" fontId="5" fillId="20" borderId="26" xfId="0" applyNumberFormat="1" applyFont="1" applyFill="1" applyBorder="1" applyAlignment="1">
      <x:alignment horizontal="center" vertical="top" wrapText="1"/>
    </x:xf>
    <x:xf numFmtId="0" fontId="5" fillId="20" borderId="24" xfId="0" applyNumberFormat="1" applyFont="1" applyFill="1" applyBorder="1" applyAlignment="1">
      <x:alignment horizontal="center" vertical="center" wrapText="1"/>
    </x:xf>
    <x:xf numFmtId="0" fontId="5" fillId="20" borderId="25" xfId="0" applyNumberFormat="1" applyFont="1" applyFill="1" applyBorder="1" applyAlignment="1">
      <x:alignment horizontal="center" vertical="center" wrapText="1"/>
    </x:xf>
    <x:xf numFmtId="0" fontId="5" fillId="20" borderId="26" xfId="0" applyNumberFormat="1" applyFont="1" applyFill="1" applyBorder="1" applyAlignment="1">
      <x:alignment horizontal="center" vertical="center" wrapText="1"/>
    </x:xf>
    <x:xf numFmtId="0" fontId="5" fillId="20" borderId="0" xfId="0" applyNumberFormat="1" applyFont="1" applyFill="1" applyBorder="1" applyAlignment="1">
      <x:alignment horizontal="center" vertical="top" wrapText="1"/>
    </x:xf>
    <x:xf numFmtId="0" fontId="6" fillId="23" borderId="8" xfId="0" applyNumberFormat="1" applyFont="1" applyFill="1" applyBorder="1" applyAlignment="1">
      <x:alignment vertical="top" wrapText="1"/>
    </x:xf>
    <x:xf numFmtId="0" fontId="6" fillId="23" borderId="9" xfId="0" applyNumberFormat="1" applyFont="1" applyFill="1" applyBorder="1" applyAlignment="1">
      <x:alignment vertical="top" wrapText="1"/>
    </x:xf>
    <x:xf numFmtId="0" fontId="6" fillId="23" borderId="10" xfId="0" applyNumberFormat="1" applyFont="1" applyFill="1" applyBorder="1" applyAlignment="1">
      <x:alignment vertical="top" wrapText="1"/>
    </x:xf>
    <x:xf numFmtId="0" fontId="6" fillId="23" borderId="24" xfId="0" applyNumberFormat="1" applyFont="1" applyFill="1" applyBorder="1" applyAlignment="1">
      <x:alignment vertical="top" wrapText="1"/>
    </x:xf>
    <x:xf numFmtId="0" fontId="6" fillId="23" borderId="25" xfId="0" applyNumberFormat="1" applyFont="1" applyFill="1" applyBorder="1" applyAlignment="1">
      <x:alignment vertical="top" wrapText="1"/>
    </x:xf>
    <x:xf numFmtId="0" fontId="6" fillId="23" borderId="26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11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6" fillId="24" borderId="12" xfId="0" applyNumberFormat="1" applyFont="1" applyFill="1" applyBorder="1" applyAlignment="1">
      <x:alignment vertical="top" wrapText="1"/>
    </x:xf>
    <x:xf numFmtId="0" fontId="6" fillId="24" borderId="24" xfId="0" applyNumberFormat="1" applyFont="1" applyFill="1" applyBorder="1" applyAlignment="1">
      <x:alignment vertical="top" wrapText="1"/>
    </x:xf>
    <x:xf numFmtId="0" fontId="6" fillId="24" borderId="25" xfId="0" applyNumberFormat="1" applyFont="1" applyFill="1" applyBorder="1" applyAlignment="1">
      <x:alignment vertical="top" wrapText="1"/>
    </x:xf>
    <x:xf numFmtId="0" fontId="6" fillId="24" borderId="26" xfId="0" applyNumberFormat="1" applyFont="1" applyFill="1" applyBorder="1" applyAlignment="1">
      <x:alignment vertical="top" wrapText="1"/>
    </x:xf>
    <x:xf numFmtId="0" fontId="6" fillId="23" borderId="11" xfId="0" applyNumberFormat="1" applyFont="1" applyFill="1" applyBorder="1" applyAlignment="1">
      <x:alignment vertical="top" wrapText="1"/>
    </x:xf>
    <x:xf numFmtId="0" fontId="6" fillId="23" borderId="12" xfId="0" applyNumberFormat="1" applyFont="1" applyFill="1" applyBorder="1" applyAlignment="1">
      <x:alignment vertical="top" wrapText="1"/>
    </x:xf>
    <x:xf numFmtId="0" fontId="6" fillId="23" borderId="13" xfId="0" applyNumberFormat="1" applyFont="1" applyFill="1" applyBorder="1" applyAlignment="1">
      <x:alignment vertical="top" wrapText="1"/>
    </x:xf>
    <x:xf numFmtId="0" fontId="6" fillId="23" borderId="14" xfId="0" applyNumberFormat="1" applyFont="1" applyFill="1" applyBorder="1" applyAlignment="1">
      <x:alignment vertical="top" wrapText="1"/>
    </x:xf>
    <x:xf numFmtId="0" fontId="6" fillId="23" borderId="15" xfId="0" applyNumberFormat="1" applyFont="1" applyFill="1" applyBorder="1" applyAlignment="1">
      <x:alignment vertical="top" wrapText="1"/>
    </x:xf>
    <x:xf numFmtId="0" fontId="6" fillId="23" borderId="24" xfId="0" applyNumberFormat="1" applyFont="1" applyFill="1" applyBorder="1" applyAlignment="1">
      <x:alignment horizontal="center" vertical="top" wrapText="1"/>
    </x:xf>
    <x:xf numFmtId="0" fontId="6" fillId="24" borderId="24" xfId="0" applyNumberFormat="1" applyFont="1" applyFill="1" applyBorder="1" applyAlignment="1">
      <x:alignment horizontal="center" vertical="top" wrapText="1"/>
    </x:xf>
    <x:xf numFmtId="0" fontId="6" fillId="23" borderId="25" xfId="0" applyNumberFormat="1" applyFont="1" applyFill="1" applyBorder="1" applyAlignment="1">
      <x:alignment horizontal="center" vertical="top" wrapText="1"/>
    </x:xf>
    <x:xf numFmtId="0" fontId="6" fillId="24" borderId="25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top"/>
    </x:xf>
    <x:xf numFmtId="0" fontId="5" fillId="19" borderId="0" xfId="0" applyNumberFormat="1" applyFont="1" applyFill="1" applyBorder="1" applyAlignment="1">
      <x:alignment horizontal="center" vertical="top"/>
    </x:xf>
    <x:xf numFmtId="0" fontId="26" fillId="19" borderId="0" xfId="0" applyNumberFormat="1" applyFont="1" applyFill="1" applyBorder="1" applyAlignment="1">
      <x:alignment horizontal="center" vertical="top"/>
    </x:xf>
    <x:xf numFmtId="0" fontId="26" fillId="19" borderId="24" xfId="0" applyNumberFormat="1" applyFont="1" applyFill="1" applyBorder="1" applyAlignment="1">
      <x:alignment horizontal="center" vertical="top"/>
    </x:xf>
    <x:xf numFmtId="0" fontId="26" fillId="19" borderId="25" xfId="0" applyNumberFormat="1" applyFont="1" applyFill="1" applyBorder="1" applyAlignment="1">
      <x:alignment horizontal="center" vertical="top"/>
    </x:xf>
    <x:xf numFmtId="0" fontId="26" fillId="19" borderId="26" xfId="0" applyNumberFormat="1" applyFont="1" applyFill="1" applyBorder="1" applyAlignment="1">
      <x:alignment horizontal="center" vertical="top"/>
    </x:xf>
    <x:xf numFmtId="0" fontId="26" fillId="19" borderId="24" xfId="0" applyNumberFormat="1" applyFont="1" applyFill="1" applyBorder="1" applyAlignment="1">
      <x:alignment horizontal="center" vertical="center"/>
    </x:xf>
    <x:xf numFmtId="0" fontId="26" fillId="19" borderId="25" xfId="0" applyNumberFormat="1" applyFont="1" applyFill="1" applyBorder="1" applyAlignment="1">
      <x:alignment horizontal="center" vertical="center"/>
    </x:xf>
    <x:xf numFmtId="0" fontId="26" fillId="19" borderId="26" xfId="0" applyNumberFormat="1" applyFont="1" applyFill="1" applyBorder="1" applyAlignment="1">
      <x:alignment horizontal="center" vertical="center"/>
    </x:xf>
    <x:xf numFmtId="0" fontId="6" fillId="19" borderId="11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 applyAlignment="1">
      <x:alignment vertical="top" wrapText="1"/>
    </x:xf>
    <x:xf numFmtId="0" fontId="6" fillId="19" borderId="12" xfId="0" applyNumberFormat="1" applyFont="1" applyFill="1" applyBorder="1" applyAlignment="1">
      <x:alignment vertical="top" wrapText="1"/>
    </x:xf>
    <x:xf numFmtId="0" fontId="6" fillId="19" borderId="24" xfId="0" applyNumberFormat="1" applyFont="1" applyFill="1" applyBorder="1" applyAlignment="1">
      <x:alignment vertical="top" wrapText="1"/>
    </x:xf>
    <x:xf numFmtId="0" fontId="6" fillId="19" borderId="25" xfId="0" applyNumberFormat="1" applyFont="1" applyFill="1" applyBorder="1" applyAlignment="1">
      <x:alignment vertical="top" wrapText="1"/>
    </x:xf>
    <x:xf numFmtId="0" fontId="6" fillId="19" borderId="26" xfId="0" applyNumberFormat="1" applyFont="1" applyFill="1" applyBorder="1" applyAlignment="1">
      <x:alignment vertical="top" wrapText="1"/>
    </x:xf>
    <x:xf numFmtId="0" fontId="6" fillId="19" borderId="13" xfId="0" applyNumberFormat="1" applyFont="1" applyFill="1" applyBorder="1" applyAlignment="1">
      <x:alignment vertical="top" wrapText="1"/>
    </x:xf>
    <x:xf numFmtId="0" fontId="6" fillId="19" borderId="14" xfId="0" applyNumberFormat="1" applyFont="1" applyFill="1" applyBorder="1" applyAlignment="1">
      <x:alignment vertical="top" wrapText="1"/>
    </x:xf>
    <x:xf numFmtId="0" fontId="6" fillId="19" borderId="15" xfId="0" applyNumberFormat="1" applyFont="1" applyFill="1" applyBorder="1" applyAlignment="1">
      <x:alignment vertical="top" wrapText="1"/>
    </x:xf>
    <x:xf numFmtId="0" fontId="6" fillId="19" borderId="24" xfId="0" applyNumberFormat="1" applyFont="1" applyFill="1" applyBorder="1" applyAlignment="1">
      <x:alignment horizontal="center" vertical="top" wrapText="1"/>
    </x:xf>
    <x:xf numFmtId="0" fontId="6" fillId="19" borderId="25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top"/>
    </x:xf>
    <x:xf numFmtId="0" fontId="5" fillId="16" borderId="0" xfId="0" applyNumberFormat="1" applyFont="1" applyFill="1" applyBorder="1" applyAlignment="1">
      <x:alignment horizontal="center" vertical="top"/>
    </x:xf>
    <x:xf numFmtId="0" fontId="27" fillId="16" borderId="0" xfId="0" applyNumberFormat="1" applyFont="1" applyFill="1" applyBorder="1" applyAlignment="1">
      <x:alignment horizontal="center" vertical="top"/>
    </x:xf>
    <x:xf numFmtId="0" fontId="27" fillId="16" borderId="24" xfId="0" applyNumberFormat="1" applyFont="1" applyFill="1" applyBorder="1" applyAlignment="1">
      <x:alignment horizontal="center" vertical="top"/>
    </x:xf>
    <x:xf numFmtId="0" fontId="27" fillId="16" borderId="25" xfId="0" applyNumberFormat="1" applyFont="1" applyFill="1" applyBorder="1" applyAlignment="1">
      <x:alignment horizontal="center" vertical="top"/>
    </x:xf>
    <x:xf numFmtId="0" fontId="27" fillId="16" borderId="26" xfId="0" applyNumberFormat="1" applyFont="1" applyFill="1" applyBorder="1" applyAlignment="1">
      <x:alignment horizontal="center" vertical="top"/>
    </x:xf>
    <x:xf numFmtId="0" fontId="27" fillId="16" borderId="24" xfId="0" applyNumberFormat="1" applyFont="1" applyFill="1" applyBorder="1" applyAlignment="1">
      <x:alignment horizontal="center" vertical="center"/>
    </x:xf>
    <x:xf numFmtId="0" fontId="27" fillId="16" borderId="25" xfId="0" applyNumberFormat="1" applyFont="1" applyFill="1" applyBorder="1" applyAlignment="1">
      <x:alignment horizontal="center" vertical="center"/>
    </x:xf>
    <x:xf numFmtId="0" fontId="27" fillId="16" borderId="26" xfId="0" applyNumberFormat="1" applyFont="1" applyFill="1" applyBorder="1" applyAlignment="1">
      <x:alignment horizontal="center" vertical="center"/>
    </x:xf>
    <x:xf numFmtId="0" fontId="6" fillId="16" borderId="24" xfId="0" applyNumberFormat="1" applyFont="1" applyFill="1" applyBorder="1" applyAlignment="1">
      <x:alignment horizontal="center" vertical="top" wrapText="1"/>
    </x:xf>
    <x:xf numFmtId="0" fontId="6" fillId="16" borderId="25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top"/>
    </x:xf>
    <x:xf numFmtId="0" fontId="5" fillId="17" borderId="0" xfId="0" applyNumberFormat="1" applyFont="1" applyFill="1" applyBorder="1" applyAlignment="1">
      <x:alignment horizontal="center" vertical="top"/>
    </x:xf>
    <x:xf numFmtId="0" fontId="28" fillId="17" borderId="0" xfId="0" applyNumberFormat="1" applyFont="1" applyFill="1" applyBorder="1" applyAlignment="1">
      <x:alignment horizontal="center" vertical="top"/>
    </x:xf>
    <x:xf numFmtId="0" fontId="28" fillId="17" borderId="24" xfId="0" applyNumberFormat="1" applyFont="1" applyFill="1" applyBorder="1" applyAlignment="1">
      <x:alignment horizontal="center" vertical="top"/>
    </x:xf>
    <x:xf numFmtId="0" fontId="28" fillId="17" borderId="25" xfId="0" applyNumberFormat="1" applyFont="1" applyFill="1" applyBorder="1" applyAlignment="1">
      <x:alignment horizontal="center" vertical="top"/>
    </x:xf>
    <x:xf numFmtId="0" fontId="28" fillId="17" borderId="26" xfId="0" applyNumberFormat="1" applyFont="1" applyFill="1" applyBorder="1" applyAlignment="1">
      <x:alignment horizontal="center" vertical="top"/>
    </x:xf>
    <x:xf numFmtId="0" fontId="28" fillId="17" borderId="24" xfId="0" applyNumberFormat="1" applyFont="1" applyFill="1" applyBorder="1" applyAlignment="1">
      <x:alignment horizontal="center" vertical="center"/>
    </x:xf>
    <x:xf numFmtId="0" fontId="28" fillId="17" borderId="25" xfId="0" applyNumberFormat="1" applyFont="1" applyFill="1" applyBorder="1" applyAlignment="1">
      <x:alignment horizontal="center" vertical="center"/>
    </x:xf>
    <x:xf numFmtId="0" fontId="28" fillId="17" borderId="26" xfId="0" applyNumberFormat="1" applyFont="1" applyFill="1" applyBorder="1" applyAlignment="1">
      <x:alignment horizontal="center" vertical="center"/>
    </x:xf>
    <x:xf numFmtId="0" fontId="6" fillId="17" borderId="24" xfId="0" applyNumberFormat="1" applyFont="1" applyFill="1" applyBorder="1" applyAlignment="1">
      <x:alignment horizontal="center" vertical="top" wrapText="1"/>
    </x:xf>
    <x:xf numFmtId="0" fontId="6" fillId="17" borderId="25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top"/>
    </x:xf>
    <x:xf numFmtId="0" fontId="5" fillId="18" borderId="0" xfId="0" applyNumberFormat="1" applyFont="1" applyFill="1" applyBorder="1" applyAlignment="1">
      <x:alignment horizontal="center" vertical="top"/>
    </x:xf>
    <x:xf numFmtId="0" fontId="29" fillId="18" borderId="0" xfId="0" applyNumberFormat="1" applyFont="1" applyFill="1" applyBorder="1" applyAlignment="1">
      <x:alignment horizontal="center" vertical="top"/>
    </x:xf>
    <x:xf numFmtId="0" fontId="29" fillId="18" borderId="24" xfId="0" applyNumberFormat="1" applyFont="1" applyFill="1" applyBorder="1" applyAlignment="1">
      <x:alignment horizontal="center" vertical="top"/>
    </x:xf>
    <x:xf numFmtId="0" fontId="29" fillId="18" borderId="25" xfId="0" applyNumberFormat="1" applyFont="1" applyFill="1" applyBorder="1" applyAlignment="1">
      <x:alignment horizontal="center" vertical="top"/>
    </x:xf>
    <x:xf numFmtId="0" fontId="29" fillId="18" borderId="26" xfId="0" applyNumberFormat="1" applyFont="1" applyFill="1" applyBorder="1" applyAlignment="1">
      <x:alignment horizontal="center" vertical="top"/>
    </x:xf>
    <x:xf numFmtId="0" fontId="29" fillId="18" borderId="24" xfId="0" applyNumberFormat="1" applyFont="1" applyFill="1" applyBorder="1" applyAlignment="1">
      <x:alignment horizontal="center" vertical="center"/>
    </x:xf>
    <x:xf numFmtId="0" fontId="29" fillId="18" borderId="25" xfId="0" applyNumberFormat="1" applyFont="1" applyFill="1" applyBorder="1" applyAlignment="1">
      <x:alignment horizontal="center" vertical="center"/>
    </x:xf>
    <x:xf numFmtId="0" fontId="29" fillId="18" borderId="26" xfId="0" applyNumberFormat="1" applyFont="1" applyFill="1" applyBorder="1" applyAlignment="1">
      <x:alignment horizontal="center" vertical="center"/>
    </x:xf>
    <x:xf numFmtId="0" fontId="6" fillId="18" borderId="13" xfId="0" applyNumberFormat="1" applyFont="1" applyFill="1" applyBorder="1" applyAlignment="1">
      <x:alignment vertical="top" wrapText="1"/>
    </x:xf>
    <x:xf numFmtId="0" fontId="6" fillId="18" borderId="14" xfId="0" applyNumberFormat="1" applyFont="1" applyFill="1" applyBorder="1" applyAlignment="1">
      <x:alignment vertical="top" wrapText="1"/>
    </x:xf>
    <x:xf numFmtId="0" fontId="6" fillId="18" borderId="15" xfId="0" applyNumberFormat="1" applyFont="1" applyFill="1" applyBorder="1" applyAlignment="1">
      <x:alignment vertical="top" wrapText="1"/>
    </x:xf>
    <x:xf numFmtId="0" fontId="6" fillId="18" borderId="24" xfId="0" applyNumberFormat="1" applyFont="1" applyFill="1" applyBorder="1" applyAlignment="1">
      <x:alignment horizontal="center" vertical="top" wrapText="1"/>
    </x:xf>
    <x:xf numFmtId="0" fontId="6" fillId="18" borderId="25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top"/>
    </x:xf>
    <x:xf numFmtId="0" fontId="5" fillId="20" borderId="0" xfId="0" applyNumberFormat="1" applyFont="1" applyFill="1" applyBorder="1" applyAlignment="1">
      <x:alignment horizontal="center" vertical="top"/>
    </x:xf>
    <x:xf numFmtId="0" fontId="30" fillId="20" borderId="0" xfId="0" applyNumberFormat="1" applyFont="1" applyFill="1" applyBorder="1" applyAlignment="1">
      <x:alignment horizontal="center" vertical="top"/>
    </x:xf>
    <x:xf numFmtId="0" fontId="30" fillId="20" borderId="24" xfId="0" applyNumberFormat="1" applyFont="1" applyFill="1" applyBorder="1" applyAlignment="1">
      <x:alignment horizontal="center" vertical="top"/>
    </x:xf>
    <x:xf numFmtId="0" fontId="30" fillId="20" borderId="25" xfId="0" applyNumberFormat="1" applyFont="1" applyFill="1" applyBorder="1" applyAlignment="1">
      <x:alignment horizontal="center" vertical="top"/>
    </x:xf>
    <x:xf numFmtId="0" fontId="30" fillId="20" borderId="26" xfId="0" applyNumberFormat="1" applyFont="1" applyFill="1" applyBorder="1" applyAlignment="1">
      <x:alignment horizontal="center" vertical="top"/>
    </x:xf>
    <x:xf numFmtId="0" fontId="30" fillId="20" borderId="24" xfId="0" applyNumberFormat="1" applyFont="1" applyFill="1" applyBorder="1" applyAlignment="1">
      <x:alignment horizontal="center" vertical="center"/>
    </x:xf>
    <x:xf numFmtId="0" fontId="30" fillId="20" borderId="25" xfId="0" applyNumberFormat="1" applyFont="1" applyFill="1" applyBorder="1" applyAlignment="1">
      <x:alignment horizontal="center" vertical="center"/>
    </x:xf>
    <x:xf numFmtId="0" fontId="30" fillId="20" borderId="26" xfId="0" applyNumberFormat="1" applyFont="1" applyFill="1" applyBorder="1" applyAlignment="1">
      <x:alignment horizontal="center" vertical="center"/>
    </x:xf>
    <x:xf numFmtId="0" fontId="6" fillId="20" borderId="24" xfId="0" applyNumberFormat="1" applyFont="1" applyFill="1" applyBorder="1" applyAlignment="1">
      <x:alignment horizontal="center" vertical="top" wrapText="1"/>
    </x:xf>
    <x:xf numFmtId="0" fontId="6" fillId="20" borderId="25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top"/>
    </x:xf>
    <x:xf numFmtId="0" fontId="5" fillId="21" borderId="0" xfId="0" applyNumberFormat="1" applyFont="1" applyFill="1" applyBorder="1" applyAlignment="1">
      <x:alignment horizontal="center" vertical="top"/>
    </x:xf>
    <x:xf numFmtId="0" fontId="31" fillId="21" borderId="0" xfId="0" applyNumberFormat="1" applyFont="1" applyFill="1" applyBorder="1" applyAlignment="1">
      <x:alignment horizontal="center" vertical="top"/>
    </x:xf>
    <x:xf numFmtId="0" fontId="31" fillId="21" borderId="24" xfId="0" applyNumberFormat="1" applyFont="1" applyFill="1" applyBorder="1" applyAlignment="1">
      <x:alignment horizontal="center" vertical="top"/>
    </x:xf>
    <x:xf numFmtId="0" fontId="31" fillId="21" borderId="25" xfId="0" applyNumberFormat="1" applyFont="1" applyFill="1" applyBorder="1" applyAlignment="1">
      <x:alignment horizontal="center" vertical="top"/>
    </x:xf>
    <x:xf numFmtId="0" fontId="31" fillId="21" borderId="26" xfId="0" applyNumberFormat="1" applyFont="1" applyFill="1" applyBorder="1" applyAlignment="1">
      <x:alignment horizontal="center" vertical="top"/>
    </x:xf>
    <x:xf numFmtId="0" fontId="31" fillId="21" borderId="24" xfId="0" applyNumberFormat="1" applyFont="1" applyFill="1" applyBorder="1" applyAlignment="1">
      <x:alignment horizontal="center" vertical="center"/>
    </x:xf>
    <x:xf numFmtId="0" fontId="31" fillId="21" borderId="25" xfId="0" applyNumberFormat="1" applyFont="1" applyFill="1" applyBorder="1" applyAlignment="1">
      <x:alignment horizontal="center" vertical="center"/>
    </x:xf>
    <x:xf numFmtId="0" fontId="31" fillId="21" borderId="26" xfId="0" applyNumberFormat="1" applyFont="1" applyFill="1" applyBorder="1" applyAlignment="1">
      <x:alignment horizontal="center" vertical="center"/>
    </x:xf>
    <x:xf numFmtId="0" fontId="6" fillId="21" borderId="13" xfId="0" applyNumberFormat="1" applyFont="1" applyFill="1" applyBorder="1" applyAlignment="1">
      <x:alignment vertical="top" wrapText="1"/>
    </x:xf>
    <x:xf numFmtId="0" fontId="6" fillId="21" borderId="14" xfId="0" applyNumberFormat="1" applyFont="1" applyFill="1" applyBorder="1" applyAlignment="1">
      <x:alignment vertical="top" wrapText="1"/>
    </x:xf>
    <x:xf numFmtId="0" fontId="6" fillId="21" borderId="15" xfId="0" applyNumberFormat="1" applyFont="1" applyFill="1" applyBorder="1" applyAlignment="1">
      <x:alignment vertical="top" wrapText="1"/>
    </x:xf>
    <x:xf numFmtId="0" fontId="6" fillId="21" borderId="24" xfId="0" applyNumberFormat="1" applyFont="1" applyFill="1" applyBorder="1" applyAlignment="1">
      <x:alignment horizontal="center" vertical="top" wrapText="1"/>
    </x:xf>
    <x:xf numFmtId="0" fontId="6" fillId="21" borderId="25" xfId="0" applyNumberFormat="1" applyFont="1" applyFill="1" applyBorder="1" applyAlignment="1">
      <x:alignment horizontal="center" vertical="top" wrapText="1"/>
    </x:xf>
    <x:xf numFmtId="0" fontId="5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vertical="top"/>
    </x:xf>
    <x:xf numFmtId="0" fontId="5" fillId="22" borderId="0" xfId="0" applyNumberFormat="1" applyFont="1" applyFill="1" applyBorder="1" applyAlignment="1">
      <x:alignment horizontal="center" vertical="top"/>
    </x:xf>
    <x:xf numFmtId="0" fontId="32" fillId="22" borderId="0" xfId="0" applyNumberFormat="1" applyFont="1" applyFill="1" applyBorder="1" applyAlignment="1">
      <x:alignment horizontal="center" vertical="top"/>
    </x:xf>
    <x:xf numFmtId="0" fontId="32" fillId="22" borderId="24" xfId="0" applyNumberFormat="1" applyFont="1" applyFill="1" applyBorder="1" applyAlignment="1">
      <x:alignment horizontal="center" vertical="top"/>
    </x:xf>
    <x:xf numFmtId="0" fontId="32" fillId="22" borderId="25" xfId="0" applyNumberFormat="1" applyFont="1" applyFill="1" applyBorder="1" applyAlignment="1">
      <x:alignment horizontal="center" vertical="top"/>
    </x:xf>
    <x:xf numFmtId="0" fontId="32" fillId="22" borderId="26" xfId="0" applyNumberFormat="1" applyFont="1" applyFill="1" applyBorder="1" applyAlignment="1">
      <x:alignment horizontal="center" vertical="top"/>
    </x:xf>
    <x:xf numFmtId="0" fontId="32" fillId="22" borderId="24" xfId="0" applyNumberFormat="1" applyFont="1" applyFill="1" applyBorder="1" applyAlignment="1">
      <x:alignment horizontal="center" vertical="center"/>
    </x:xf>
    <x:xf numFmtId="0" fontId="32" fillId="22" borderId="25" xfId="0" applyNumberFormat="1" applyFont="1" applyFill="1" applyBorder="1" applyAlignment="1">
      <x:alignment horizontal="center" vertical="center"/>
    </x:xf>
    <x:xf numFmtId="0" fontId="32" fillId="22" borderId="26" xfId="0" applyNumberFormat="1" applyFont="1" applyFill="1" applyBorder="1" applyAlignment="1">
      <x:alignment horizontal="center" vertical="center"/>
    </x:xf>
    <x:xf numFmtId="0" fontId="6" fillId="22" borderId="11" xfId="0" applyNumberFormat="1" applyFont="1" applyFill="1" applyBorder="1" applyAlignment="1">
      <x:alignment vertical="top" wrapText="1"/>
    </x:xf>
    <x:xf numFmtId="0" fontId="6" fillId="22" borderId="12" xfId="0" applyNumberFormat="1" applyFont="1" applyFill="1" applyBorder="1" applyAlignment="1">
      <x:alignment vertical="top" wrapText="1"/>
    </x:xf>
    <x:xf numFmtId="0" fontId="6" fillId="22" borderId="24" xfId="0" applyNumberFormat="1" applyFont="1" applyFill="1" applyBorder="1" applyAlignment="1">
      <x:alignment horizontal="center" vertical="top" wrapText="1"/>
    </x:xf>
    <x:xf numFmtId="0" fontId="6" fillId="22" borderId="25" xfId="0" applyNumberFormat="1" applyFont="1" applyFill="1" applyBorder="1" applyAlignment="1">
      <x:alignment horizontal="center" vertical="top" wrapText="1"/>
    </x:xf>
    <x:xf numFmtId="0" fontId="9" fillId="23" borderId="24" xfId="0" applyNumberFormat="1" applyFont="1" applyFill="1" applyBorder="1" applyAlignment="1">
      <x:alignment horizontal="center" vertical="top" wrapText="1"/>
    </x:xf>
    <x:xf numFmtId="0" fontId="9" fillId="23" borderId="25" xfId="0" applyNumberFormat="1" applyFont="1" applyFill="1" applyBorder="1" applyAlignment="1">
      <x:alignment vertical="top" wrapText="1"/>
    </x:xf>
    <x:xf numFmtId="0" fontId="9" fillId="19" borderId="24" xfId="0" applyNumberFormat="1" applyFont="1" applyFill="1" applyBorder="1" applyAlignment="1">
      <x:alignment horizontal="center" vertical="top" wrapText="1"/>
    </x:xf>
    <x:xf numFmtId="0" fontId="9" fillId="19" borderId="25" xfId="0" applyNumberFormat="1" applyFont="1" applyFill="1" applyBorder="1" applyAlignment="1">
      <x:alignment vertical="top" wrapText="1"/>
    </x:xf>
    <x:xf numFmtId="0" fontId="11" fillId="23" borderId="24" xfId="0" applyNumberFormat="1" applyFont="1" applyFill="1" applyBorder="1" applyAlignment="1">
      <x:alignment horizontal="center" vertical="top" wrapText="1"/>
    </x:xf>
    <x:xf numFmtId="0" fontId="11" fillId="23" borderId="25" xfId="0" applyNumberFormat="1" applyFont="1" applyFill="1" applyBorder="1" applyAlignment="1">
      <x:alignment vertical="top" wrapText="1"/>
    </x:xf>
    <x:xf numFmtId="0" fontId="11" fillId="16" borderId="24" xfId="0" applyNumberFormat="1" applyFont="1" applyFill="1" applyBorder="1" applyAlignment="1">
      <x:alignment horizontal="center" vertical="top" wrapText="1"/>
    </x:xf>
    <x:xf numFmtId="0" fontId="11" fillId="16" borderId="25" xfId="0" applyNumberFormat="1" applyFont="1" applyFill="1" applyBorder="1" applyAlignment="1">
      <x:alignment vertical="top" wrapText="1"/>
    </x:xf>
    <x:xf numFmtId="0" fontId="13" fillId="23" borderId="24" xfId="0" applyNumberFormat="1" applyFont="1" applyFill="1" applyBorder="1" applyAlignment="1">
      <x:alignment horizontal="center" vertical="top" wrapText="1"/>
    </x:xf>
    <x:xf numFmtId="0" fontId="13" fillId="23" borderId="25" xfId="0" applyNumberFormat="1" applyFont="1" applyFill="1" applyBorder="1" applyAlignment="1">
      <x:alignment vertical="top" wrapText="1"/>
    </x:xf>
    <x:xf numFmtId="0" fontId="13" fillId="17" borderId="24" xfId="0" applyNumberFormat="1" applyFont="1" applyFill="1" applyBorder="1" applyAlignment="1">
      <x:alignment horizontal="center" vertical="top" wrapText="1"/>
    </x:xf>
    <x:xf numFmtId="0" fontId="13" fillId="17" borderId="25" xfId="0" applyNumberFormat="1" applyFont="1" applyFill="1" applyBorder="1" applyAlignment="1">
      <x:alignment vertical="top" wrapText="1"/>
    </x:xf>
    <x:xf numFmtId="0" fontId="15" fillId="23" borderId="24" xfId="0" applyNumberFormat="1" applyFont="1" applyFill="1" applyBorder="1" applyAlignment="1">
      <x:alignment horizontal="center" vertical="top" wrapText="1"/>
    </x:xf>
    <x:xf numFmtId="0" fontId="15" fillId="23" borderId="25" xfId="0" applyNumberFormat="1" applyFont="1" applyFill="1" applyBorder="1" applyAlignment="1">
      <x:alignment vertical="top" wrapText="1"/>
    </x:xf>
    <x:xf numFmtId="0" fontId="15" fillId="18" borderId="24" xfId="0" applyNumberFormat="1" applyFont="1" applyFill="1" applyBorder="1" applyAlignment="1">
      <x:alignment horizontal="center" vertical="top" wrapText="1"/>
    </x:xf>
    <x:xf numFmtId="0" fontId="15" fillId="18" borderId="25" xfId="0" applyNumberFormat="1" applyFont="1" applyFill="1" applyBorder="1" applyAlignment="1">
      <x:alignment vertical="top" wrapText="1"/>
    </x:xf>
    <x:xf numFmtId="0" fontId="17" fillId="23" borderId="24" xfId="0" applyNumberFormat="1" applyFont="1" applyFill="1" applyBorder="1" applyAlignment="1">
      <x:alignment horizontal="center" vertical="top" wrapText="1"/>
    </x:xf>
    <x:xf numFmtId="0" fontId="17" fillId="23" borderId="25" xfId="0" applyNumberFormat="1" applyFont="1" applyFill="1" applyBorder="1" applyAlignment="1">
      <x:alignment vertical="top" wrapText="1"/>
    </x:xf>
    <x:xf numFmtId="0" fontId="17" fillId="20" borderId="24" xfId="0" applyNumberFormat="1" applyFont="1" applyFill="1" applyBorder="1" applyAlignment="1">
      <x:alignment horizontal="center" vertical="top" wrapText="1"/>
    </x:xf>
    <x:xf numFmtId="0" fontId="17" fillId="20" borderId="25" xfId="0" applyNumberFormat="1" applyFont="1" applyFill="1" applyBorder="1" applyAlignment="1">
      <x:alignment vertical="top" wrapText="1"/>
    </x:xf>
    <x:xf numFmtId="0" fontId="19" fillId="23" borderId="24" xfId="0" applyNumberFormat="1" applyFont="1" applyFill="1" applyBorder="1" applyAlignment="1">
      <x:alignment horizontal="center" vertical="top" wrapText="1"/>
    </x:xf>
    <x:xf numFmtId="0" fontId="19" fillId="23" borderId="25" xfId="0" applyNumberFormat="1" applyFont="1" applyFill="1" applyBorder="1" applyAlignment="1">
      <x:alignment vertical="top" wrapText="1"/>
    </x:xf>
    <x:xf numFmtId="0" fontId="19" fillId="21" borderId="24" xfId="0" applyNumberFormat="1" applyFont="1" applyFill="1" applyBorder="1" applyAlignment="1">
      <x:alignment horizontal="center" vertical="top" wrapText="1"/>
    </x:xf>
    <x:xf numFmtId="0" fontId="19" fillId="21" borderId="25" xfId="0" applyNumberFormat="1" applyFont="1" applyFill="1" applyBorder="1" applyAlignment="1">
      <x:alignment vertical="top" wrapText="1"/>
    </x:xf>
    <x:xf numFmtId="0" fontId="21" fillId="23" borderId="24" xfId="0" applyNumberFormat="1" applyFont="1" applyFill="1" applyBorder="1" applyAlignment="1">
      <x:alignment horizontal="center" vertical="top" wrapText="1"/>
    </x:xf>
    <x:xf numFmtId="0" fontId="21" fillId="23" borderId="25" xfId="0" applyNumberFormat="1" applyFont="1" applyFill="1" applyBorder="1" applyAlignment="1">
      <x:alignment vertical="top" wrapText="1"/>
    </x:xf>
    <x:xf numFmtId="0" fontId="21" fillId="22" borderId="24" xfId="0" applyNumberFormat="1" applyFont="1" applyFill="1" applyBorder="1" applyAlignment="1">
      <x:alignment horizontal="center" vertical="top" wrapText="1"/>
    </x:xf>
    <x:xf numFmtId="0" fontId="21" fillId="22" borderId="25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horizontal="center"/>
    </x:xf>
    <x:xf numFmtId="0" fontId="30" fillId="20" borderId="0" xfId="0" applyNumberFormat="1" applyFont="1" applyFill="1" applyBorder="1" applyAlignment="1">
      <x:alignment horizontal="center"/>
    </x:xf>
    <x:xf numFmtId="0" fontId="30" fillId="20" borderId="24" xfId="0" applyNumberFormat="1" applyFont="1" applyFill="1" applyBorder="1" applyAlignment="1">
      <x:alignment horizontal="center"/>
    </x:xf>
    <x:xf numFmtId="0" fontId="30" fillId="20" borderId="25" xfId="0" applyNumberFormat="1" applyFont="1" applyFill="1" applyBorder="1" applyAlignment="1">
      <x:alignment horizontal="center"/>
    </x:xf>
    <x:xf numFmtId="0" fontId="30" fillId="20" borderId="26" xfId="0" applyNumberFormat="1" applyFont="1" applyFill="1" applyBorder="1" applyAlignment="1">
      <x:alignment horizontal="center"/>
    </x:xf>
    <x:xf numFmtId="0" fontId="5" fillId="15" borderId="24" xfId="0" applyNumberFormat="1" applyFont="1" applyFill="1" applyBorder="1" applyAlignment="1">
      <x:alignment vertical="top" wrapText="1"/>
    </x:xf>
    <x:xf numFmtId="0" fontId="5" fillId="16" borderId="24" xfId="0" applyNumberFormat="1" applyFont="1" applyFill="1" applyBorder="1" applyAlignment="1">
      <x:alignment vertical="top" wrapText="1"/>
    </x:xf>
    <x:xf numFmtId="0" fontId="5" fillId="17" borderId="24" xfId="0" applyNumberFormat="1" applyFont="1" applyFill="1" applyBorder="1" applyAlignment="1">
      <x:alignment vertical="top" wrapText="1"/>
    </x:xf>
    <x:xf numFmtId="0" fontId="5" fillId="20" borderId="24" xfId="0" applyNumberFormat="1" applyFont="1" applyFill="1" applyBorder="1" applyAlignment="1">
      <x:alignment vertical="top" wrapText="1"/>
    </x:xf>
    <x:xf numFmtId="0" fontId="5" fillId="18" borderId="24" xfId="0" applyNumberFormat="1" applyFont="1" applyFill="1" applyBorder="1" applyAlignment="1">
      <x:alignment vertical="top" wrapText="1"/>
    </x:xf>
    <x:xf numFmtId="0" fontId="8" fillId="14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vertical="center" wrapText="1"/>
    </x:xf>
    <x:xf numFmtId="200" fontId="9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200" fontId="11" fillId="16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vertical="center" wrapText="1"/>
    </x:xf>
    <x:xf numFmtId="200" fontId="13" fillId="17" borderId="0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5" fillId="18" borderId="0" xfId="0" applyNumberFormat="1" applyFont="1" applyFill="1" applyBorder="1" applyAlignment="1">
      <x:alignment vertical="center" wrapText="1"/>
    </x:xf>
    <x:xf numFmtId="200" fontId="15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7" fillId="20" borderId="0" xfId="0" applyNumberFormat="1" applyFont="1" applyFill="1" applyBorder="1" applyAlignment="1">
      <x:alignment vertical="center" wrapText="1"/>
    </x:xf>
    <x:xf numFmtId="200" fontId="17" fillId="20" borderId="0" xfId="0" applyNumberFormat="1" applyFont="1" applyFill="1" applyBorder="1" applyAlignment="1">
      <x:alignment vertical="center" wrapText="1"/>
    </x:xf>
    <x:xf numFmtId="0" fontId="18" fillId="20" borderId="0" xfId="0" applyNumberFormat="1" applyFont="1" applyFill="1" applyBorder="1" applyAlignment="1">
      <x:alignment vertical="center" wrapText="1"/>
    </x:xf>
    <x:xf numFmtId="0" fontId="19" fillId="21" borderId="0" xfId="0" applyNumberFormat="1" applyFont="1" applyFill="1" applyBorder="1" applyAlignment="1">
      <x:alignment vertical="center" wrapText="1"/>
    </x:xf>
    <x:xf numFmtId="200" fontId="19" fillId="21" borderId="0" xfId="0" applyNumberFormat="1" applyFont="1" applyFill="1" applyBorder="1" applyAlignment="1">
      <x:alignment vertical="center" wrapText="1"/>
    </x:xf>
    <x:xf numFmtId="0" fontId="20" fillId="21" borderId="0" xfId="0" applyNumberFormat="1" applyFont="1" applyFill="1" applyBorder="1" applyAlignment="1">
      <x:alignment vertical="center" wrapText="1"/>
    </x:xf>
    <x:xf numFmtId="0" fontId="21" fillId="22" borderId="0" xfId="0" applyNumberFormat="1" applyFont="1" applyFill="1" applyBorder="1" applyAlignment="1">
      <x:alignment vertical="center" wrapText="1"/>
    </x:xf>
    <x:xf numFmtId="200" fontId="21" fillId="22" borderId="0" xfId="0" applyNumberFormat="1" applyFont="1" applyFill="1" applyBorder="1" applyAlignment="1">
      <x:alignment vertical="center" wrapText="1"/>
    </x:xf>
    <x:xf numFmtId="0" fontId="22" fillId="22" borderId="0" xfId="0" applyNumberFormat="1" applyFont="1" applyFill="1" applyBorder="1" applyAlignment="1">
      <x:alignment vertical="center" wrapText="1"/>
    </x:xf>
    <x:xf numFmtId="0" fontId="23" fillId="21" borderId="0" xfId="0" applyNumberFormat="1" applyFont="1" applyFill="1" applyBorder="1" applyAlignment="1">
      <x:alignment horizontal="center" vertical="center"/>
    </x:xf>
    <x:xf numFmtId="0" fontId="24" fillId="18" borderId="0" xfId="0" applyNumberFormat="1" applyFont="1" applyFill="1" applyBorder="1" applyAlignment="1">
      <x:alignment horizontal="center"/>
    </x:xf>
    <x:xf numFmtId="0" fontId="24" fillId="18" borderId="0" xfId="0" applyNumberFormat="1" applyFont="1" applyFill="1" applyBorder="1" applyAlignment="1">
      <x:alignment horizontal="center" vertical="center"/>
    </x:xf>
    <x:xf numFmtId="0" fontId="10" fillId="19" borderId="0" xfId="0" applyNumberFormat="1" applyFont="1" applyFill="1" applyBorder="1" applyAlignment="1">
      <x:alignment horizontal="left"/>
    </x:xf>
    <x:xf numFmtId="0" fontId="10" fillId="19" borderId="0" xfId="0" applyNumberFormat="1" applyFont="1" applyFill="1" applyBorder="1" applyAlignment="1">
      <x:alignment horizontal="left" vertical="center"/>
    </x:xf>
    <x:xf numFmtId="0" fontId="12" fillId="16" borderId="0" xfId="0" applyNumberFormat="1" applyFont="1" applyFill="1" applyBorder="1" applyAlignment="1">
      <x:alignment horizontal="left"/>
    </x:xf>
    <x:xf numFmtId="0" fontId="12" fillId="16" borderId="0" xfId="0" applyNumberFormat="1" applyFont="1" applyFill="1" applyBorder="1" applyAlignment="1">
      <x:alignment horizontal="left" vertical="center"/>
    </x:xf>
    <x:xf numFmtId="0" fontId="14" fillId="17" borderId="0" xfId="0" applyNumberFormat="1" applyFont="1" applyFill="1" applyBorder="1" applyAlignment="1">
      <x:alignment horizontal="left"/>
    </x:xf>
    <x:xf numFmtId="0" fontId="14" fillId="17" borderId="0" xfId="0" applyNumberFormat="1" applyFont="1" applyFill="1" applyBorder="1" applyAlignment="1">
      <x:alignment horizontal="left" vertical="center"/>
    </x:xf>
    <x:xf numFmtId="0" fontId="16" fillId="18" borderId="0" xfId="0" applyNumberFormat="1" applyFont="1" applyFill="1" applyBorder="1" applyAlignment="1">
      <x:alignment horizontal="left"/>
    </x:xf>
    <x:xf numFmtId="0" fontId="16" fillId="18" borderId="0" xfId="0" applyNumberFormat="1" applyFont="1" applyFill="1" applyBorder="1" applyAlignment="1">
      <x:alignment horizontal="left" vertical="center"/>
    </x:xf>
    <x:xf numFmtId="0" fontId="18" fillId="20" borderId="0" xfId="0" applyNumberFormat="1" applyFont="1" applyFill="1" applyBorder="1" applyAlignment="1">
      <x:alignment horizontal="left"/>
    </x:xf>
    <x:xf numFmtId="0" fontId="18" fillId="20" borderId="0" xfId="0" applyNumberFormat="1" applyFont="1" applyFill="1" applyBorder="1" applyAlignment="1">
      <x:alignment horizontal="left" vertical="center"/>
    </x:xf>
    <x:xf numFmtId="0" fontId="20" fillId="21" borderId="0" xfId="0" applyNumberFormat="1" applyFont="1" applyFill="1" applyBorder="1" applyAlignment="1">
      <x:alignment horizontal="left"/>
    </x:xf>
    <x:xf numFmtId="0" fontId="20" fillId="21" borderId="0" xfId="0" applyNumberFormat="1" applyFont="1" applyFill="1" applyBorder="1" applyAlignment="1">
      <x:alignment horizontal="left" vertical="center"/>
    </x:xf>
    <x:xf numFmtId="0" fontId="22" fillId="22" borderId="0" xfId="0" applyNumberFormat="1" applyFont="1" applyFill="1" applyBorder="1" applyAlignment="1">
      <x:alignment horizontal="left"/>
    </x:xf>
    <x:xf numFmtId="0" fontId="22" fillId="22" borderId="0" xfId="0" applyNumberFormat="1" applyFont="1" applyFill="1" applyBorder="1" applyAlignment="1">
      <x:alignment horizontal="left" vertical="center"/>
    </x:xf>
    <x:xf numFmtId="0" fontId="25" fillId="13" borderId="0" xfId="0" applyNumberFormat="1" applyFont="1" applyFill="1" applyBorder="1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5" fillId="18" borderId="0" xfId="0" applyNumberFormat="1" applyFont="1" applyFill="1" applyBorder="1" applyAlignment="1">
      <x:alignment horizontal="center" vertical="center" wrapText="1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6" fillId="23" borderId="0" xfId="0" applyNumberFormat="1" applyFont="1" applyFill="1" applyBorder="1" applyAlignment="1">
      <x:alignment horizontal="center" vertical="top" wrapText="1"/>
    </x:xf>
    <x:xf numFmtId="0" fontId="6" fillId="24" borderId="0" xfId="0" applyNumberFormat="1" applyFont="1" applyFill="1" applyBorder="1" applyAlignment="1">
      <x:alignment horizontal="center" vertical="top" wrapText="1"/>
    </x:xf>
    <x:xf numFmtId="0" fontId="26" fillId="19" borderId="0" xfId="0" applyNumberFormat="1" applyFont="1" applyFill="1" applyBorder="1" applyAlignment="1">
      <x:alignment horizontal="center" vertical="center"/>
    </x:xf>
    <x:xf numFmtId="0" fontId="6" fillId="19" borderId="0" xfId="0" applyNumberFormat="1" applyFont="1" applyFill="1" applyBorder="1" applyAlignment="1">
      <x:alignment horizontal="center" vertical="top" wrapText="1"/>
    </x:xf>
    <x:xf numFmtId="0" fontId="27" fillId="16" borderId="0" xfId="0" applyNumberFormat="1" applyFont="1" applyFill="1" applyBorder="1" applyAlignment="1">
      <x:alignment horizontal="center" vertical="center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28" fillId="17" borderId="0" xfId="0" applyNumberFormat="1" applyFont="1" applyFill="1" applyBorder="1" applyAlignment="1">
      <x:alignment horizontal="center" vertical="center"/>
    </x:xf>
    <x:xf numFmtId="0" fontId="6" fillId="17" borderId="0" xfId="0" applyNumberFormat="1" applyFont="1" applyFill="1" applyBorder="1" applyAlignment="1">
      <x:alignment horizontal="center" vertical="top" wrapText="1"/>
    </x:xf>
    <x:xf numFmtId="0" fontId="29" fillId="18" borderId="0" xfId="0" applyNumberFormat="1" applyFont="1" applyFill="1" applyBorder="1" applyAlignment="1">
      <x:alignment horizontal="center" vertical="center"/>
    </x:xf>
    <x:xf numFmtId="0" fontId="6" fillId="18" borderId="0" xfId="0" applyNumberFormat="1" applyFont="1" applyFill="1" applyBorder="1" applyAlignment="1">
      <x:alignment horizontal="center" vertical="top" wrapText="1"/>
    </x:xf>
    <x:xf numFmtId="0" fontId="30" fillId="20" borderId="0" xfId="0" applyNumberFormat="1" applyFont="1" applyFill="1" applyBorder="1" applyAlignment="1">
      <x:alignment horizontal="center" vertical="center"/>
    </x:xf>
    <x:xf numFmtId="0" fontId="6" fillId="20" borderId="0" xfId="0" applyNumberFormat="1" applyFont="1" applyFill="1" applyBorder="1" applyAlignment="1">
      <x:alignment horizontal="center" vertical="top" wrapText="1"/>
    </x:xf>
    <x:xf numFmtId="0" fontId="31" fillId="21" borderId="0" xfId="0" applyNumberFormat="1" applyFont="1" applyFill="1" applyBorder="1" applyAlignment="1">
      <x:alignment horizontal="center" vertical="center"/>
    </x:xf>
    <x:xf numFmtId="0" fontId="6" fillId="21" borderId="0" xfId="0" applyNumberFormat="1" applyFont="1" applyFill="1" applyBorder="1" applyAlignment="1">
      <x:alignment horizontal="center" vertical="top" wrapText="1"/>
    </x:xf>
    <x:xf numFmtId="0" fontId="32" fillId="22" borderId="0" xfId="0" applyNumberFormat="1" applyFont="1" applyFill="1" applyBorder="1" applyAlignment="1">
      <x:alignment horizontal="center" vertical="center"/>
    </x:xf>
    <x:xf numFmtId="0" fontId="6" fillId="22" borderId="0" xfId="0" applyNumberFormat="1" applyFont="1" applyFill="1" applyBorder="1" applyAlignment="1">
      <x:alignment horizontal="center" vertical="top" wrapText="1"/>
    </x:xf>
    <x:xf numFmtId="0" fontId="9" fillId="23" borderId="0" xfId="0" applyNumberFormat="1" applyFont="1" applyFill="1" applyBorder="1" applyAlignment="1">
      <x:alignment horizontal="center"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9" fillId="19" borderId="0" xfId="0" applyNumberFormat="1" applyFont="1" applyFill="1" applyBorder="1" applyAlignment="1">
      <x:alignment horizontal="center" vertical="top" wrapText="1"/>
    </x:xf>
    <x:xf numFmtId="0" fontId="9" fillId="19" borderId="0" xfId="0" applyNumberFormat="1" applyFont="1" applyFill="1" applyBorder="1" applyAlignment="1">
      <x:alignment vertical="top" wrapText="1"/>
    </x:xf>
    <x:xf numFmtId="0" fontId="11" fillId="23" borderId="0" xfId="0" applyNumberFormat="1" applyFont="1" applyFill="1" applyBorder="1" applyAlignment="1">
      <x:alignment horizontal="center" vertical="top" wrapText="1"/>
    </x:xf>
    <x:xf numFmtId="0" fontId="11" fillId="23" borderId="0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horizontal="center" vertical="top" wrapText="1"/>
    </x:xf>
    <x:xf numFmtId="0" fontId="11" fillId="16" borderId="0" xfId="0" applyNumberFormat="1" applyFont="1" applyFill="1" applyBorder="1" applyAlignment="1">
      <x:alignment vertical="top" wrapText="1"/>
    </x:xf>
    <x:xf numFmtId="0" fontId="13" fillId="23" borderId="0" xfId="0" applyNumberFormat="1" applyFont="1" applyFill="1" applyBorder="1" applyAlignment="1">
      <x:alignment horizontal="center" vertical="top" wrapText="1"/>
    </x:xf>
    <x:xf numFmtId="0" fontId="13" fillId="23" borderId="0" xfId="0" applyNumberFormat="1" applyFont="1" applyFill="1" applyBorder="1" applyAlignment="1">
      <x:alignment vertical="top" wrapText="1"/>
    </x:xf>
    <x:xf numFmtId="0" fontId="13" fillId="17" borderId="0" xfId="0" applyNumberFormat="1" applyFont="1" applyFill="1" applyBorder="1" applyAlignment="1">
      <x:alignment horizontal="center" vertical="top" wrapText="1"/>
    </x:xf>
    <x:xf numFmtId="0" fontId="13" fillId="17" borderId="0" xfId="0" applyNumberFormat="1" applyFont="1" applyFill="1" applyBorder="1" applyAlignment="1">
      <x:alignment vertical="top" wrapText="1"/>
    </x:xf>
    <x:xf numFmtId="0" fontId="15" fillId="23" borderId="0" xfId="0" applyNumberFormat="1" applyFont="1" applyFill="1" applyBorder="1" applyAlignment="1">
      <x:alignment horizontal="center" vertical="top" wrapText="1"/>
    </x:xf>
    <x:xf numFmtId="0" fontId="15" fillId="23" borderId="0" xfId="0" applyNumberFormat="1" applyFont="1" applyFill="1" applyBorder="1" applyAlignment="1">
      <x:alignment vertical="top" wrapText="1"/>
    </x:xf>
    <x:xf numFmtId="0" fontId="15" fillId="18" borderId="0" xfId="0" applyNumberFormat="1" applyFont="1" applyFill="1" applyBorder="1" applyAlignment="1">
      <x:alignment horizontal="center" vertical="top" wrapText="1"/>
    </x:xf>
    <x:xf numFmtId="0" fontId="15" fillId="18" borderId="0" xfId="0" applyNumberFormat="1" applyFont="1" applyFill="1" applyBorder="1" applyAlignment="1">
      <x:alignment vertical="top" wrapText="1"/>
    </x:xf>
    <x:xf numFmtId="0" fontId="17" fillId="23" borderId="0" xfId="0" applyNumberFormat="1" applyFont="1" applyFill="1" applyBorder="1" applyAlignment="1">
      <x:alignment horizontal="center" vertical="top" wrapText="1"/>
    </x:xf>
    <x:xf numFmtId="0" fontId="17" fillId="23" borderId="0" xfId="0" applyNumberFormat="1" applyFont="1" applyFill="1" applyBorder="1" applyAlignment="1">
      <x:alignment vertical="top" wrapText="1"/>
    </x:xf>
    <x:xf numFmtId="0" fontId="17" fillId="20" borderId="0" xfId="0" applyNumberFormat="1" applyFont="1" applyFill="1" applyBorder="1" applyAlignment="1">
      <x:alignment horizontal="center" vertical="top" wrapText="1"/>
    </x:xf>
    <x:xf numFmtId="0" fontId="17" fillId="20" borderId="0" xfId="0" applyNumberFormat="1" applyFont="1" applyFill="1" applyBorder="1" applyAlignment="1">
      <x:alignment vertical="top" wrapText="1"/>
    </x:xf>
    <x:xf numFmtId="0" fontId="19" fillId="23" borderId="0" xfId="0" applyNumberFormat="1" applyFont="1" applyFill="1" applyBorder="1" applyAlignment="1">
      <x:alignment horizontal="center" vertical="top" wrapText="1"/>
    </x:xf>
    <x:xf numFmtId="0" fontId="19" fillId="23" borderId="0" xfId="0" applyNumberFormat="1" applyFont="1" applyFill="1" applyBorder="1" applyAlignment="1">
      <x:alignment vertical="top" wrapText="1"/>
    </x:xf>
    <x:xf numFmtId="0" fontId="19" fillId="21" borderId="0" xfId="0" applyNumberFormat="1" applyFont="1" applyFill="1" applyBorder="1" applyAlignment="1">
      <x:alignment horizontal="center" vertical="top" wrapText="1"/>
    </x:xf>
    <x:xf numFmtId="0" fontId="19" fillId="21" borderId="0" xfId="0" applyNumberFormat="1" applyFont="1" applyFill="1" applyBorder="1" applyAlignment="1">
      <x:alignment vertical="top" wrapText="1"/>
    </x:xf>
    <x:xf numFmtId="0" fontId="21" fillId="23" borderId="0" xfId="0" applyNumberFormat="1" applyFont="1" applyFill="1" applyBorder="1" applyAlignment="1">
      <x:alignment horizontal="center" vertical="top" wrapText="1"/>
    </x:xf>
    <x:xf numFmtId="0" fontId="21" fillId="23" borderId="0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 applyAlignment="1">
      <x:alignment horizontal="center" vertical="top" wrapText="1"/>
    </x:xf>
    <x:xf numFmtId="0" fontId="21" fillId="22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5" fillId="20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33" fillId="25" borderId="0" xfId="0" applyNumberFormat="1" applyFont="1" applyFill="1" applyBorder="1"/>
    <x:xf numFmtId="0" fontId="33" fillId="25" borderId="27" xfId="0" applyNumberFormat="1" applyFont="1" applyFill="1" applyBorder="1"/>
    <x:xf numFmtId="0" fontId="33" fillId="25" borderId="28" xfId="0" applyNumberFormat="1" applyFont="1" applyFill="1" applyBorder="1"/>
    <x:xf numFmtId="0" fontId="33" fillId="25" borderId="29" xfId="0" applyNumberFormat="1" applyFont="1" applyFill="1" applyBorder="1"/>
    <x:xf numFmtId="0" fontId="33" fillId="25" borderId="27" xfId="0" applyNumberFormat="1" applyFont="1" applyFill="1" applyBorder="1" applyAlignment="1">
      <x:alignment horizontal="center"/>
    </x:xf>
    <x:xf numFmtId="0" fontId="33" fillId="25" borderId="28" xfId="0" applyNumberFormat="1" applyFont="1" applyFill="1" applyBorder="1" applyAlignment="1">
      <x:alignment horizontal="center"/>
    </x:xf>
    <x:xf numFmtId="0" fontId="33" fillId="25" borderId="29" xfId="0" applyNumberFormat="1" applyFont="1" applyFill="1" applyBorder="1" applyAlignment="1">
      <x:alignment horizontal="center"/>
    </x:xf>
    <x:xf numFmtId="0" fontId="33" fillId="25" borderId="27" xfId="0" applyNumberFormat="1" applyFont="1" applyFill="1" applyBorder="1" applyAlignment="1">
      <x:alignment horizontal="center" vertical="center"/>
    </x:xf>
    <x:xf numFmtId="0" fontId="33" fillId="25" borderId="28" xfId="0" applyNumberFormat="1" applyFont="1" applyFill="1" applyBorder="1" applyAlignment="1">
      <x:alignment horizontal="center" vertical="center"/>
    </x:xf>
    <x:xf numFmtId="0" fontId="33" fillId="25" borderId="29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34" fillId="26" borderId="0" xfId="0" applyNumberFormat="1" applyFont="1" applyFill="1" applyBorder="1"/>
    <x:xf numFmtId="0" fontId="34" fillId="26" borderId="27" xfId="0" applyNumberFormat="1" applyFont="1" applyFill="1" applyBorder="1"/>
    <x:xf numFmtId="0" fontId="34" fillId="26" borderId="28" xfId="0" applyNumberFormat="1" applyFont="1" applyFill="1" applyBorder="1"/>
    <x:xf numFmtId="0" fontId="34" fillId="26" borderId="29" xfId="0" applyNumberFormat="1" applyFont="1" applyFill="1" applyBorder="1"/>
    <x:xf numFmtId="0" fontId="34" fillId="26" borderId="27" xfId="0" applyNumberFormat="1" applyFont="1" applyFill="1" applyBorder="1" applyAlignment="1">
      <x:alignment wrapText="1"/>
    </x:xf>
    <x:xf numFmtId="0" fontId="34" fillId="26" borderId="28" xfId="0" applyNumberFormat="1" applyFont="1" applyFill="1" applyBorder="1" applyAlignment="1">
      <x:alignment wrapText="1"/>
    </x:xf>
    <x:xf numFmtId="0" fontId="34" fillId="26" borderId="29" xfId="0" applyNumberFormat="1" applyFont="1" applyFill="1" applyBorder="1" applyAlignment="1">
      <x:alignment wrapText="1"/>
    </x:xf>
    <x:xf numFmtId="0" fontId="35" fillId="25" borderId="0" xfId="0" applyNumberFormat="1" applyFont="1" applyFill="1" applyBorder="1"/>
    <x:xf numFmtId="0" fontId="35" fillId="25" borderId="27" xfId="0" applyNumberFormat="1" applyFont="1" applyFill="1" applyBorder="1"/>
    <x:xf numFmtId="0" fontId="35" fillId="25" borderId="28" xfId="0" applyNumberFormat="1" applyFont="1" applyFill="1" applyBorder="1"/>
    <x:xf numFmtId="0" fontId="35" fillId="25" borderId="29" xfId="0" applyNumberFormat="1" applyFont="1" applyFill="1" applyBorder="1"/>
    <x:xf numFmtId="0" fontId="35" fillId="25" borderId="27" xfId="0" applyNumberFormat="1" applyFont="1" applyFill="1" applyBorder="1" applyAlignment="1">
      <x:alignment wrapText="1"/>
    </x:xf>
    <x:xf numFmtId="0" fontId="35" fillId="25" borderId="28" xfId="0" applyNumberFormat="1" applyFont="1" applyFill="1" applyBorder="1" applyAlignment="1">
      <x:alignment wrapText="1"/>
    </x:xf>
    <x:xf numFmtId="0" fontId="35" fillId="25" borderId="29" xfId="0" applyNumberFormat="1" applyFont="1" applyFill="1" applyBorder="1" applyAlignment="1">
      <x:alignment wrapText="1"/>
    </x:xf>
    <x:xf numFmtId="0" fontId="35" fillId="25" borderId="27" xfId="0" applyNumberFormat="1" applyFont="1" applyFill="1" applyBorder="1" applyAlignment="1">
      <x:alignment horizontal="center" wrapText="1"/>
    </x:xf>
    <x:xf numFmtId="0" fontId="35" fillId="25" borderId="28" xfId="0" applyNumberFormat="1" applyFont="1" applyFill="1" applyBorder="1" applyAlignment="1">
      <x:alignment horizontal="center" wrapText="1"/>
    </x:xf>
    <x:xf numFmtId="0" fontId="35" fillId="25" borderId="29" xfId="0" applyNumberFormat="1" applyFont="1" applyFill="1" applyBorder="1" applyAlignment="1">
      <x:alignment horizontal="center" wrapText="1"/>
    </x:xf>
    <x:xf numFmtId="0" fontId="35" fillId="25" borderId="27" xfId="0" applyNumberFormat="1" applyFont="1" applyFill="1" applyBorder="1" applyAlignment="1">
      <x:alignment horizontal="center" vertical="center" wrapText="1"/>
    </x:xf>
    <x:xf numFmtId="0" fontId="35" fillId="25" borderId="28" xfId="0" applyNumberFormat="1" applyFont="1" applyFill="1" applyBorder="1" applyAlignment="1">
      <x:alignment horizontal="center" vertical="center" wrapText="1"/>
    </x:xf>
    <x:xf numFmtId="0" fontId="35" fillId="25" borderId="29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35" fillId="27" borderId="0" xfId="0" applyNumberFormat="1" applyFont="1" applyFill="1" applyBorder="1"/>
    <x:xf numFmtId="0" fontId="35" fillId="27" borderId="27" xfId="0" applyNumberFormat="1" applyFont="1" applyFill="1" applyBorder="1"/>
    <x:xf numFmtId="0" fontId="35" fillId="27" borderId="28" xfId="0" applyNumberFormat="1" applyFont="1" applyFill="1" applyBorder="1"/>
    <x:xf numFmtId="0" fontId="35" fillId="27" borderId="29" xfId="0" applyNumberFormat="1" applyFont="1" applyFill="1" applyBorder="1"/>
    <x:xf numFmtId="0" fontId="35" fillId="27" borderId="27" xfId="0" applyNumberFormat="1" applyFont="1" applyFill="1" applyBorder="1" applyAlignment="1">
      <x:alignment wrapText="1"/>
    </x:xf>
    <x:xf numFmtId="0" fontId="35" fillId="27" borderId="28" xfId="0" applyNumberFormat="1" applyFont="1" applyFill="1" applyBorder="1" applyAlignment="1">
      <x:alignment wrapText="1"/>
    </x:xf>
    <x:xf numFmtId="0" fontId="35" fillId="27" borderId="29" xfId="0" applyNumberFormat="1" applyFont="1" applyFill="1" applyBorder="1" applyAlignment="1">
      <x:alignment wrapText="1"/>
    </x:xf>
    <x:xf numFmtId="0" fontId="35" fillId="27" borderId="27" xfId="0" applyNumberFormat="1" applyFont="1" applyFill="1" applyBorder="1" applyAlignment="1">
      <x:alignment horizontal="center" wrapText="1"/>
    </x:xf>
    <x:xf numFmtId="0" fontId="35" fillId="27" borderId="28" xfId="0" applyNumberFormat="1" applyFont="1" applyFill="1" applyBorder="1" applyAlignment="1">
      <x:alignment horizontal="center" wrapText="1"/>
    </x:xf>
    <x:xf numFmtId="0" fontId="35" fillId="27" borderId="29" xfId="0" applyNumberFormat="1" applyFont="1" applyFill="1" applyBorder="1" applyAlignment="1">
      <x:alignment horizontal="center" wrapText="1"/>
    </x:xf>
    <x:xf numFmtId="0" fontId="35" fillId="27" borderId="27" xfId="0" applyNumberFormat="1" applyFont="1" applyFill="1" applyBorder="1" applyAlignment="1">
      <x:alignment horizontal="center" vertical="center" wrapText="1"/>
    </x:xf>
    <x:xf numFmtId="0" fontId="35" fillId="27" borderId="28" xfId="0" applyNumberFormat="1" applyFont="1" applyFill="1" applyBorder="1" applyAlignment="1">
      <x:alignment horizontal="center" vertical="center" wrapText="1"/>
    </x:xf>
    <x:xf numFmtId="0" fontId="35" fillId="27" borderId="29" xfId="0" applyNumberFormat="1" applyFont="1" applyFill="1" applyBorder="1" applyAlignment="1">
      <x:alignment horizontal="center" vertical="center" wrapText="1"/>
    </x:xf>
    <x:xf numFmtId="0" fontId="35" fillId="26" borderId="0" xfId="0" applyNumberFormat="1" applyFont="1" applyFill="1" applyBorder="1"/>
    <x:xf numFmtId="0" fontId="35" fillId="26" borderId="27" xfId="0" applyNumberFormat="1" applyFont="1" applyFill="1" applyBorder="1"/>
    <x:xf numFmtId="0" fontId="35" fillId="26" borderId="28" xfId="0" applyNumberFormat="1" applyFont="1" applyFill="1" applyBorder="1"/>
    <x:xf numFmtId="0" fontId="35" fillId="26" borderId="29" xfId="0" applyNumberFormat="1" applyFont="1" applyFill="1" applyBorder="1"/>
    <x:xf numFmtId="0" fontId="35" fillId="26" borderId="27" xfId="0" applyNumberFormat="1" applyFont="1" applyFill="1" applyBorder="1" applyAlignment="1">
      <x:alignment wrapText="1"/>
    </x:xf>
    <x:xf numFmtId="0" fontId="35" fillId="26" borderId="28" xfId="0" applyNumberFormat="1" applyFont="1" applyFill="1" applyBorder="1" applyAlignment="1">
      <x:alignment wrapText="1"/>
    </x:xf>
    <x:xf numFmtId="0" fontId="35" fillId="26" borderId="29" xfId="0" applyNumberFormat="1" applyFont="1" applyFill="1" applyBorder="1" applyAlignment="1">
      <x:alignment wrapText="1"/>
    </x:xf>
    <x:xf numFmtId="0" fontId="35" fillId="26" borderId="27" xfId="0" applyNumberFormat="1" applyFont="1" applyFill="1" applyBorder="1" applyAlignment="1">
      <x:alignment horizontal="center" wrapText="1"/>
    </x:xf>
    <x:xf numFmtId="0" fontId="35" fillId="26" borderId="28" xfId="0" applyNumberFormat="1" applyFont="1" applyFill="1" applyBorder="1" applyAlignment="1">
      <x:alignment horizontal="center" wrapText="1"/>
    </x:xf>
    <x:xf numFmtId="0" fontId="35" fillId="26" borderId="29" xfId="0" applyNumberFormat="1" applyFont="1" applyFill="1" applyBorder="1" applyAlignment="1">
      <x:alignment horizontal="center" wrapText="1"/>
    </x:xf>
    <x:xf numFmtId="0" fontId="35" fillId="26" borderId="27" xfId="0" applyNumberFormat="1" applyFont="1" applyFill="1" applyBorder="1" applyAlignment="1">
      <x:alignment horizontal="center" vertical="center" wrapText="1"/>
    </x:xf>
    <x:xf numFmtId="0" fontId="35" fillId="26" borderId="28" xfId="0" applyNumberFormat="1" applyFont="1" applyFill="1" applyBorder="1" applyAlignment="1">
      <x:alignment horizontal="center" vertical="center" wrapText="1"/>
    </x:xf>
    <x:xf numFmtId="0" fontId="35" fillId="26" borderId="29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35" fillId="28" borderId="0" xfId="0" applyNumberFormat="1" applyFont="1" applyFill="1" applyBorder="1"/>
    <x:xf numFmtId="0" fontId="35" fillId="28" borderId="27" xfId="0" applyNumberFormat="1" applyFont="1" applyFill="1" applyBorder="1"/>
    <x:xf numFmtId="0" fontId="35" fillId="28" borderId="28" xfId="0" applyNumberFormat="1" applyFont="1" applyFill="1" applyBorder="1"/>
    <x:xf numFmtId="0" fontId="35" fillId="28" borderId="29" xfId="0" applyNumberFormat="1" applyFont="1" applyFill="1" applyBorder="1"/>
    <x:xf numFmtId="0" fontId="35" fillId="28" borderId="27" xfId="0" applyNumberFormat="1" applyFont="1" applyFill="1" applyBorder="1" applyAlignment="1">
      <x:alignment wrapText="1"/>
    </x:xf>
    <x:xf numFmtId="0" fontId="35" fillId="28" borderId="28" xfId="0" applyNumberFormat="1" applyFont="1" applyFill="1" applyBorder="1" applyAlignment="1">
      <x:alignment wrapText="1"/>
    </x:xf>
    <x:xf numFmtId="0" fontId="35" fillId="28" borderId="29" xfId="0" applyNumberFormat="1" applyFont="1" applyFill="1" applyBorder="1" applyAlignment="1">
      <x:alignment wrapText="1"/>
    </x:xf>
    <x:xf numFmtId="0" fontId="35" fillId="28" borderId="27" xfId="0" applyNumberFormat="1" applyFont="1" applyFill="1" applyBorder="1" applyAlignment="1">
      <x:alignment horizontal="center" wrapText="1"/>
    </x:xf>
    <x:xf numFmtId="0" fontId="35" fillId="28" borderId="28" xfId="0" applyNumberFormat="1" applyFont="1" applyFill="1" applyBorder="1" applyAlignment="1">
      <x:alignment horizontal="center" wrapText="1"/>
    </x:xf>
    <x:xf numFmtId="0" fontId="35" fillId="28" borderId="29" xfId="0" applyNumberFormat="1" applyFont="1" applyFill="1" applyBorder="1" applyAlignment="1">
      <x:alignment horizontal="center" wrapText="1"/>
    </x:xf>
    <x:xf numFmtId="0" fontId="35" fillId="28" borderId="27" xfId="0" applyNumberFormat="1" applyFont="1" applyFill="1" applyBorder="1" applyAlignment="1">
      <x:alignment horizontal="center" vertical="center" wrapText="1"/>
    </x:xf>
    <x:xf numFmtId="0" fontId="35" fillId="28" borderId="28" xfId="0" applyNumberFormat="1" applyFont="1" applyFill="1" applyBorder="1" applyAlignment="1">
      <x:alignment horizontal="center" vertical="center" wrapText="1"/>
    </x:xf>
    <x:xf numFmtId="0" fontId="35" fillId="28" borderId="29" xfId="0" applyNumberFormat="1" applyFont="1" applyFill="1" applyBorder="1" applyAlignment="1">
      <x:alignment horizontal="center" vertical="center" wrapText="1"/>
    </x:xf>
    <x:xf numFmtId="0" fontId="36" fillId="0" borderId="0" xfId="0" applyNumberFormat="1" applyFont="1" applyFill="1" applyBorder="1"/>
    <x:xf numFmtId="0" fontId="36" fillId="0" borderId="30" xfId="0" applyNumberFormat="1" applyFont="1" applyFill="1" applyBorder="1"/>
    <x:xf numFmtId="0" fontId="36" fillId="0" borderId="31" xfId="0" applyNumberFormat="1" applyFont="1" applyFill="1" applyBorder="1"/>
    <x:xf numFmtId="0" fontId="36" fillId="0" borderId="32" xfId="0" applyNumberFormat="1" applyFont="1" applyFill="1" applyBorder="1"/>
    <x:xf numFmtId="0" fontId="36" fillId="0" borderId="33" xfId="0" applyNumberFormat="1" applyFont="1" applyFill="1" applyBorder="1"/>
    <x:xf numFmtId="0" fontId="36" fillId="0" xfId="0" applyNumberFormat="1" applyFont="1" applyFill="1" applyBorder="0"/>
    <x:xf numFmtId="0" fontId="36" fillId="0" borderId="34" xfId="0" applyNumberFormat="1" applyFont="1" applyFill="1" applyBorder="1"/>
    <x:xf numFmtId="0" fontId="36" fillId="0" borderId="35" xfId="0" applyNumberFormat="1" applyFont="1" applyFill="1" applyBorder="1"/>
    <x:xf numFmtId="0" fontId="36" fillId="0" borderId="36" xfId="0" applyNumberFormat="1" applyFont="1" applyFill="1" applyBorder="1"/>
    <x:xf numFmtId="0" fontId="36" fillId="0" borderId="37" xfId="0" applyNumberFormat="1" applyFont="1" applyFill="1" applyBorder="1"/>
    <x:xf numFmtId="0" fontId="36" fillId="0" borderId="30" xfId="0" applyNumberFormat="1" applyFont="1" applyFill="1" applyBorder="1" applyAlignment="1">
      <x:alignment wrapText="1"/>
    </x:xf>
    <x:xf numFmtId="0" fontId="36" fillId="0" borderId="31" xfId="0" applyNumberFormat="1" applyFont="1" applyFill="1" applyBorder="1" applyAlignment="1">
      <x:alignment wrapText="1"/>
    </x:xf>
    <x:xf numFmtId="0" fontId="36" fillId="0" borderId="32" xfId="0" applyNumberFormat="1" applyFont="1" applyFill="1" applyBorder="1" applyAlignment="1">
      <x:alignment wrapText="1"/>
    </x:xf>
    <x:xf numFmtId="0" fontId="36" fillId="0" borderId="33" xfId="0" applyNumberFormat="1" applyFont="1" applyFill="1" applyBorder="1" applyAlignment="1">
      <x:alignment wrapText="1"/>
    </x:xf>
    <x:xf numFmtId="0" fontId="36" fillId="0" xfId="0" applyNumberFormat="1" applyFont="1" applyFill="1" applyBorder="0" applyAlignment="1">
      <x:alignment wrapText="1"/>
    </x:xf>
    <x:xf numFmtId="0" fontId="36" fillId="0" borderId="34" xfId="0" applyNumberFormat="1" applyFont="1" applyFill="1" applyBorder="1" applyAlignment="1">
      <x:alignment wrapText="1"/>
    </x:xf>
    <x:xf numFmtId="0" fontId="36" fillId="0" borderId="35" xfId="0" applyNumberFormat="1" applyFont="1" applyFill="1" applyBorder="1" applyAlignment="1">
      <x:alignment wrapText="1"/>
    </x:xf>
    <x:xf numFmtId="0" fontId="36" fillId="0" borderId="36" xfId="0" applyNumberFormat="1" applyFont="1" applyFill="1" applyBorder="1" applyAlignment="1">
      <x:alignment wrapText="1"/>
    </x:xf>
    <x:xf numFmtId="0" fontId="36" fillId="0" borderId="37" xfId="0" applyNumberFormat="1" applyFont="1" applyFill="1" applyBorder="1" applyAlignment="1">
      <x:alignment wrapText="1"/>
    </x:xf>
    <x:xf numFmtId="0" fontId="36" fillId="0" borderId="30" xfId="0" applyNumberFormat="1" applyFont="1" applyFill="1" applyBorder="1" applyAlignment="1">
      <x:alignment vertical="top" wrapText="1"/>
    </x:xf>
    <x:xf numFmtId="0" fontId="36" fillId="0" borderId="31" xfId="0" applyNumberFormat="1" applyFont="1" applyFill="1" applyBorder="1" applyAlignment="1">
      <x:alignment vertical="top" wrapText="1"/>
    </x:xf>
    <x:xf numFmtId="0" fontId="36" fillId="0" borderId="32" xfId="0" applyNumberFormat="1" applyFont="1" applyFill="1" applyBorder="1" applyAlignment="1">
      <x:alignment vertical="top" wrapText="1"/>
    </x:xf>
    <x:xf numFmtId="0" fontId="36" fillId="0" borderId="33" xfId="0" applyNumberFormat="1" applyFont="1" applyFill="1" applyBorder="1" applyAlignment="1">
      <x:alignment vertical="top" wrapText="1"/>
    </x:xf>
    <x:xf numFmtId="0" fontId="36" fillId="0" xfId="0" applyNumberFormat="1" applyFont="1" applyFill="1" applyBorder="0" applyAlignment="1">
      <x:alignment vertical="top" wrapText="1"/>
    </x:xf>
    <x:xf numFmtId="0" fontId="36" fillId="0" borderId="34" xfId="0" applyNumberFormat="1" applyFont="1" applyFill="1" applyBorder="1" applyAlignment="1">
      <x:alignment vertical="top" wrapText="1"/>
    </x:xf>
    <x:xf numFmtId="0" fontId="36" fillId="0" borderId="35" xfId="0" applyNumberFormat="1" applyFont="1" applyFill="1" applyBorder="1" applyAlignment="1">
      <x:alignment vertical="top" wrapText="1"/>
    </x:xf>
    <x:xf numFmtId="0" fontId="36" fillId="0" borderId="36" xfId="0" applyNumberFormat="1" applyFont="1" applyFill="1" applyBorder="1" applyAlignment="1">
      <x:alignment vertical="top" wrapText="1"/>
    </x:xf>
    <x:xf numFmtId="0" fontId="36" fillId="0" borderId="37" xfId="0" applyNumberFormat="1" applyFont="1" applyFill="1" applyBorder="1" applyAlignment="1">
      <x:alignment vertical="top" wrapText="1"/>
    </x:xf>
    <x:xf numFmtId="0" fontId="36" fillId="29" borderId="30" xfId="0" applyNumberFormat="1" applyFont="1" applyFill="1" applyBorder="1" applyAlignment="1">
      <x:alignment vertical="top" wrapText="1"/>
    </x:xf>
    <x:xf numFmtId="0" fontId="36" fillId="29" borderId="31" xfId="0" applyNumberFormat="1" applyFont="1" applyFill="1" applyBorder="1" applyAlignment="1">
      <x:alignment vertical="top" wrapText="1"/>
    </x:xf>
    <x:xf numFmtId="0" fontId="36" fillId="29" borderId="32" xfId="0" applyNumberFormat="1" applyFont="1" applyFill="1" applyBorder="1" applyAlignment="1">
      <x:alignment vertical="top" wrapText="1"/>
    </x:xf>
    <x:xf numFmtId="0" fontId="36" fillId="30" borderId="33" xfId="0" applyNumberFormat="1" applyFont="1" applyFill="1" applyBorder="1" applyAlignment="1">
      <x:alignment vertical="top" wrapText="1"/>
    </x:xf>
    <x:xf numFmtId="0" fontId="36" fillId="30" xfId="0" applyNumberFormat="1" applyFont="1" applyFill="1" applyBorder="0" applyAlignment="1">
      <x:alignment vertical="top" wrapText="1"/>
    </x:xf>
    <x:xf numFmtId="0" fontId="36" fillId="30" borderId="34" xfId="0" applyNumberFormat="1" applyFont="1" applyFill="1" applyBorder="1" applyAlignment="1">
      <x:alignment vertical="top" wrapText="1"/>
    </x:xf>
    <x:xf numFmtId="0" fontId="36" fillId="29" borderId="33" xfId="0" applyNumberFormat="1" applyFont="1" applyFill="1" applyBorder="1" applyAlignment="1">
      <x:alignment vertical="top" wrapText="1"/>
    </x:xf>
    <x:xf numFmtId="0" fontId="36" fillId="29" xfId="0" applyNumberFormat="1" applyFont="1" applyFill="1" applyBorder="0" applyAlignment="1">
      <x:alignment vertical="top" wrapText="1"/>
    </x:xf>
    <x:xf numFmtId="0" fontId="36" fillId="29" borderId="34" xfId="0" applyNumberFormat="1" applyFont="1" applyFill="1" applyBorder="1" applyAlignment="1">
      <x:alignment vertical="top" wrapText="1"/>
    </x:xf>
    <x:xf numFmtId="0" fontId="37" fillId="29" borderId="30" xfId="0" applyNumberFormat="1" applyFont="1" applyFill="1" applyBorder="1" applyAlignment="1">
      <x:alignment vertical="top" wrapText="1"/>
    </x:xf>
    <x:xf numFmtId="0" fontId="37" fillId="29" borderId="31" xfId="0" applyNumberFormat="1" applyFont="1" applyFill="1" applyBorder="1" applyAlignment="1">
      <x:alignment vertical="top" wrapText="1"/>
    </x:xf>
    <x:xf numFmtId="0" fontId="37" fillId="30" borderId="33" xfId="0" applyNumberFormat="1" applyFont="1" applyFill="1" applyBorder="1" applyAlignment="1">
      <x:alignment vertical="top" wrapText="1"/>
    </x:xf>
    <x:xf numFmtId="0" fontId="37" fillId="30" xfId="0" applyNumberFormat="1" applyFont="1" applyFill="1" applyBorder="0" applyAlignment="1">
      <x:alignment vertical="top" wrapText="1"/>
    </x:xf>
    <x:xf numFmtId="0" fontId="37" fillId="29" borderId="33" xfId="0" applyNumberFormat="1" applyFont="1" applyFill="1" applyBorder="1" applyAlignment="1">
      <x:alignment vertical="top" wrapText="1"/>
    </x:xf>
    <x:xf numFmtId="0" fontId="37" fillId="29" xfId="0" applyNumberFormat="1" applyFont="1" applyFill="1" applyBorder="0" applyAlignment="1">
      <x:alignment vertical="top" wrapText="1"/>
    </x:xf>
    <x:xf numFmtId="0" fontId="36" fillId="27" borderId="33" xfId="0" applyNumberFormat="1" applyFont="1" applyFill="1" applyBorder="1" applyAlignment="1">
      <x:alignment vertical="top" wrapText="1"/>
    </x:xf>
    <x:xf numFmtId="0" fontId="36" fillId="27" xfId="0" applyNumberFormat="1" applyFont="1" applyFill="1" applyBorder="0" applyAlignment="1">
      <x:alignment vertical="top" wrapText="1"/>
    </x:xf>
    <x:xf numFmtId="0" fontId="36" fillId="27" borderId="34" xfId="0" applyNumberFormat="1" applyFont="1" applyFill="1" applyBorder="1" applyAlignment="1">
      <x:alignment vertical="top" wrapText="1"/>
    </x:xf>
    <x:xf numFmtId="0" fontId="38" fillId="29" borderId="33" xfId="0" applyNumberFormat="1" applyFont="1" applyFill="1" applyBorder="1" applyAlignment="1">
      <x:alignment vertical="top" wrapText="1"/>
    </x:xf>
    <x:xf numFmtId="0" fontId="38" fillId="29" xfId="0" applyNumberFormat="1" applyFont="1" applyFill="1" applyBorder="0" applyAlignment="1">
      <x:alignment vertical="top" wrapText="1"/>
    </x:xf>
    <x:xf numFmtId="0" fontId="38" fillId="27" borderId="33" xfId="0" applyNumberFormat="1" applyFont="1" applyFill="1" applyBorder="1" applyAlignment="1">
      <x:alignment vertical="top" wrapText="1"/>
    </x:xf>
    <x:xf numFmtId="0" fontId="38" fillId="27" xfId="0" applyNumberFormat="1" applyFont="1" applyFill="1" applyBorder="0" applyAlignment="1">
      <x:alignment vertical="top" wrapText="1"/>
    </x:xf>
    <x:xf numFmtId="0" fontId="36" fillId="26" borderId="33" xfId="0" applyNumberFormat="1" applyFont="1" applyFill="1" applyBorder="1" applyAlignment="1">
      <x:alignment vertical="top" wrapText="1"/>
    </x:xf>
    <x:xf numFmtId="0" fontId="36" fillId="26" xfId="0" applyNumberFormat="1" applyFont="1" applyFill="1" applyBorder="0" applyAlignment="1">
      <x:alignment vertical="top" wrapText="1"/>
    </x:xf>
    <x:xf numFmtId="0" fontId="36" fillId="26" borderId="34" xfId="0" applyNumberFormat="1" applyFont="1" applyFill="1" applyBorder="1" applyAlignment="1">
      <x:alignment vertical="top" wrapText="1"/>
    </x:xf>
    <x:xf numFmtId="0" fontId="39" fillId="29" borderId="33" xfId="0" applyNumberFormat="1" applyFont="1" applyFill="1" applyBorder="1" applyAlignment="1">
      <x:alignment vertical="top" wrapText="1"/>
    </x:xf>
    <x:xf numFmtId="0" fontId="39" fillId="29" xfId="0" applyNumberFormat="1" applyFont="1" applyFill="1" applyBorder="0" applyAlignment="1">
      <x:alignment vertical="top" wrapText="1"/>
    </x:xf>
    <x:xf numFmtId="0" fontId="39" fillId="26" borderId="33" xfId="0" applyNumberFormat="1" applyFont="1" applyFill="1" applyBorder="1" applyAlignment="1">
      <x:alignment vertical="top" wrapText="1"/>
    </x:xf>
    <x:xf numFmtId="0" fontId="39" fillId="26" xfId="0" applyNumberFormat="1" applyFont="1" applyFill="1" applyBorder="0" applyAlignment="1">
      <x:alignment vertical="top" wrapText="1"/>
    </x:xf>
    <x:xf numFmtId="0" fontId="36" fillId="28" borderId="33" xfId="0" applyNumberFormat="1" applyFont="1" applyFill="1" applyBorder="1" applyAlignment="1">
      <x:alignment vertical="top" wrapText="1"/>
    </x:xf>
    <x:xf numFmtId="0" fontId="36" fillId="28" xfId="0" applyNumberFormat="1" applyFont="1" applyFill="1" applyBorder="0" applyAlignment="1">
      <x:alignment vertical="top" wrapText="1"/>
    </x:xf>
    <x:xf numFmtId="0" fontId="36" fillId="28" borderId="34" xfId="0" applyNumberFormat="1" applyFont="1" applyFill="1" applyBorder="1" applyAlignment="1">
      <x:alignment vertical="top" wrapText="1"/>
    </x:xf>
    <x:xf numFmtId="0" fontId="40" fillId="29" borderId="33" xfId="0" applyNumberFormat="1" applyFont="1" applyFill="1" applyBorder="1" applyAlignment="1">
      <x:alignment vertical="top" wrapText="1"/>
    </x:xf>
    <x:xf numFmtId="0" fontId="40" fillId="29" xfId="0" applyNumberFormat="1" applyFont="1" applyFill="1" applyBorder="0" applyAlignment="1">
      <x:alignment vertical="top" wrapText="1"/>
    </x:xf>
    <x:xf numFmtId="0" fontId="40" fillId="28" borderId="33" xfId="0" applyNumberFormat="1" applyFont="1" applyFill="1" applyBorder="1" applyAlignment="1">
      <x:alignment vertical="top" wrapText="1"/>
    </x:xf>
    <x:xf numFmtId="0" fontId="40" fillId="28" xfId="0" applyNumberFormat="1" applyFont="1" applyFill="1" applyBorder="0" applyAlignment="1">
      <x:alignment vertical="top" wrapText="1"/>
    </x:xf>
    <x:xf numFmtId="0" fontId="36" fillId="31" borderId="33" xfId="0" applyNumberFormat="1" applyFont="1" applyFill="1" applyBorder="1" applyAlignment="1">
      <x:alignment vertical="top" wrapText="1"/>
    </x:xf>
    <x:xf numFmtId="0" fontId="36" fillId="31" xfId="0" applyNumberFormat="1" applyFont="1" applyFill="1" applyBorder="0" applyAlignment="1">
      <x:alignment vertical="top" wrapText="1"/>
    </x:xf>
    <x:xf numFmtId="0" fontId="36" fillId="31" borderId="34" xfId="0" applyNumberFormat="1" applyFont="1" applyFill="1" applyBorder="1" applyAlignment="1">
      <x:alignment vertical="top" wrapText="1"/>
    </x:xf>
    <x:xf numFmtId="0" fontId="41" fillId="29" borderId="33" xfId="0" applyNumberFormat="1" applyFont="1" applyFill="1" applyBorder="1" applyAlignment="1">
      <x:alignment vertical="top" wrapText="1"/>
    </x:xf>
    <x:xf numFmtId="0" fontId="41" fillId="29" xfId="0" applyNumberFormat="1" applyFont="1" applyFill="1" applyBorder="0" applyAlignment="1">
      <x:alignment vertical="top" wrapText="1"/>
    </x:xf>
    <x:xf numFmtId="0" fontId="41" fillId="31" borderId="33" xfId="0" applyNumberFormat="1" applyFont="1" applyFill="1" applyBorder="1" applyAlignment="1">
      <x:alignment vertical="top" wrapText="1"/>
    </x:xf>
    <x:xf numFmtId="0" fontId="41" fillId="31" xfId="0" applyNumberFormat="1" applyFont="1" applyFill="1" applyBorder="0" applyAlignment="1">
      <x:alignment vertical="top" wrapText="1"/>
    </x:xf>
    <x:xf numFmtId="0" fontId="36" fillId="32" borderId="33" xfId="0" applyNumberFormat="1" applyFont="1" applyFill="1" applyBorder="1" applyAlignment="1">
      <x:alignment vertical="top" wrapText="1"/>
    </x:xf>
    <x:xf numFmtId="0" fontId="36" fillId="32" xfId="0" applyNumberFormat="1" applyFont="1" applyFill="1" applyBorder="0" applyAlignment="1">
      <x:alignment vertical="top" wrapText="1"/>
    </x:xf>
    <x:xf numFmtId="0" fontId="36" fillId="32" borderId="34" xfId="0" applyNumberFormat="1" applyFont="1" applyFill="1" applyBorder="1" applyAlignment="1">
      <x:alignment vertical="top" wrapText="1"/>
    </x:xf>
    <x:xf numFmtId="0" fontId="42" fillId="29" borderId="33" xfId="0" applyNumberFormat="1" applyFont="1" applyFill="1" applyBorder="1" applyAlignment="1">
      <x:alignment vertical="top" wrapText="1"/>
    </x:xf>
    <x:xf numFmtId="0" fontId="42" fillId="29" xfId="0" applyNumberFormat="1" applyFont="1" applyFill="1" applyBorder="0" applyAlignment="1">
      <x:alignment vertical="top" wrapText="1"/>
    </x:xf>
    <x:xf numFmtId="0" fontId="42" fillId="32" borderId="33" xfId="0" applyNumberFormat="1" applyFont="1" applyFill="1" applyBorder="1" applyAlignment="1">
      <x:alignment vertical="top" wrapText="1"/>
    </x:xf>
    <x:xf numFmtId="0" fontId="42" fillId="32" xfId="0" applyNumberFormat="1" applyFont="1" applyFill="1" applyBorder="0" applyAlignment="1">
      <x:alignment vertical="top" wrapText="1"/>
    </x:xf>
    <x:xf numFmtId="0" fontId="36" fillId="33" borderId="33" xfId="0" applyNumberFormat="1" applyFont="1" applyFill="1" applyBorder="1" applyAlignment="1">
      <x:alignment vertical="top" wrapText="1"/>
    </x:xf>
    <x:xf numFmtId="0" fontId="36" fillId="33" xfId="0" applyNumberFormat="1" applyFont="1" applyFill="1" applyBorder="0" applyAlignment="1">
      <x:alignment vertical="top" wrapText="1"/>
    </x:xf>
    <x:xf numFmtId="0" fontId="36" fillId="33" borderId="34" xfId="0" applyNumberFormat="1" applyFont="1" applyFill="1" applyBorder="1" applyAlignment="1">
      <x:alignment vertical="top" wrapText="1"/>
    </x:xf>
    <x:xf numFmtId="0" fontId="36" fillId="29" borderId="35" xfId="0" applyNumberFormat="1" applyFont="1" applyFill="1" applyBorder="1" applyAlignment="1">
      <x:alignment vertical="top" wrapText="1"/>
    </x:xf>
    <x:xf numFmtId="0" fontId="36" fillId="29" borderId="36" xfId="0" applyNumberFormat="1" applyFont="1" applyFill="1" applyBorder="1" applyAlignment="1">
      <x:alignment vertical="top" wrapText="1"/>
    </x:xf>
    <x:xf numFmtId="0" fontId="36" fillId="29" borderId="37" xfId="0" applyNumberFormat="1" applyFont="1" applyFill="1" applyBorder="1" applyAlignment="1">
      <x:alignment vertical="top" wrapText="1"/>
    </x:xf>
    <x:xf numFmtId="0" fontId="43" fillId="29" borderId="33" xfId="0" applyNumberFormat="1" applyFont="1" applyFill="1" applyBorder="1" applyAlignment="1">
      <x:alignment vertical="top" wrapText="1"/>
    </x:xf>
    <x:xf numFmtId="0" fontId="43" fillId="29" xfId="0" applyNumberFormat="1" applyFont="1" applyFill="1" applyBorder="0" applyAlignment="1">
      <x:alignment vertical="top" wrapText="1"/>
    </x:xf>
    <x:xf numFmtId="0" fontId="43" fillId="33" borderId="33" xfId="0" applyNumberFormat="1" applyFont="1" applyFill="1" applyBorder="1" applyAlignment="1">
      <x:alignment vertical="top" wrapText="1"/>
    </x:xf>
    <x:xf numFmtId="0" fontId="43" fillId="33" xfId="0" applyNumberFormat="1" applyFont="1" applyFill="1" applyBorder="0" applyAlignment="1">
      <x:alignment vertical="top" wrapText="1"/>
    </x:xf>
    <x:xf numFmtId="0" fontId="43" fillId="29" borderId="35" xfId="0" applyNumberFormat="1" applyFont="1" applyFill="1" applyBorder="1" applyAlignment="1">
      <x:alignment vertical="top" wrapText="1"/>
    </x:xf>
    <x:xf numFmtId="0" fontId="43" fillId="29" borderId="36" xfId="0" applyNumberFormat="1" applyFont="1" applyFill="1" applyBorder="1" applyAlignment="1">
      <x:alignment vertical="top" wrapText="1"/>
    </x:xf>
    <x:xf numFmtId="0" fontId="44" fillId="27" borderId="0" xfId="0" applyNumberFormat="1" applyFont="1" applyFill="1" applyBorder="1"/>
    <x:xf numFmtId="0" fontId="44" fillId="27" borderId="27" xfId="0" applyNumberFormat="1" applyFont="1" applyFill="1" applyBorder="1"/>
    <x:xf numFmtId="0" fontId="44" fillId="27" borderId="28" xfId="0" applyNumberFormat="1" applyFont="1" applyFill="1" applyBorder="1"/>
    <x:xf numFmtId="0" fontId="44" fillId="27" borderId="29" xfId="0" applyNumberFormat="1" applyFont="1" applyFill="1" applyBorder="1"/>
    <x:xf numFmtId="0" fontId="44" fillId="27" borderId="27" xfId="0" applyNumberFormat="1" applyFont="1" applyFill="1" applyBorder="1" applyAlignment="1">
      <x:alignment horizontal="center"/>
    </x:xf>
    <x:xf numFmtId="0" fontId="44" fillId="27" borderId="28" xfId="0" applyNumberFormat="1" applyFont="1" applyFill="1" applyBorder="1" applyAlignment="1">
      <x:alignment horizontal="center"/>
    </x:xf>
    <x:xf numFmtId="0" fontId="44" fillId="27" borderId="29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36" fillId="29" borderId="0" xfId="0" applyNumberFormat="1" applyFont="1" applyFill="1" applyBorder="1"/>
    <x:xf numFmtId="0" fontId="36" fillId="29" borderId="27" xfId="0" applyNumberFormat="1" applyFont="1" applyFill="1" applyBorder="1"/>
    <x:xf numFmtId="0" fontId="36" fillId="29" borderId="28" xfId="0" applyNumberFormat="1" applyFont="1" applyFill="1" applyBorder="1"/>
    <x:xf numFmtId="0" fontId="36" fillId="29" borderId="29" xfId="0" applyNumberFormat="1" applyFont="1" applyFill="1" applyBorder="1"/>
    <x:xf numFmtId="0" fontId="36" fillId="29" borderId="27" xfId="0" applyNumberFormat="1" applyFont="1" applyFill="1" applyBorder="1" applyAlignment="1">
      <x:alignment wrapText="1"/>
    </x:xf>
    <x:xf numFmtId="0" fontId="36" fillId="29" borderId="28" xfId="0" applyNumberFormat="1" applyFont="1" applyFill="1" applyBorder="1" applyAlignment="1">
      <x:alignment wrapText="1"/>
    </x:xf>
    <x:xf numFmtId="0" fontId="36" fillId="29" borderId="29" xfId="0" applyNumberFormat="1" applyFont="1" applyFill="1" applyBorder="1" applyAlignment="1">
      <x:alignment wrapText="1"/>
    </x:xf>
    <x:xf numFmtId="0" fontId="36" fillId="29" borderId="27" xfId="0" applyNumberFormat="1" applyFont="1" applyFill="1" applyBorder="1" applyAlignment="1">
      <x:alignment vertical="top" wrapText="1"/>
    </x:xf>
    <x:xf numFmtId="0" fontId="36" fillId="29" borderId="28" xfId="0" applyNumberFormat="1" applyFont="1" applyFill="1" applyBorder="1" applyAlignment="1">
      <x:alignment vertical="top" wrapText="1"/>
    </x:xf>
    <x:xf numFmtId="0" fontId="36" fillId="29" borderId="29" xfId="0" applyNumberFormat="1" applyFont="1" applyFill="1" applyBorder="1" applyAlignment="1">
      <x:alignment vertical="top" wrapText="1"/>
    </x:xf>
    <x:xf numFmtId="0" fontId="36" fillId="27" borderId="0" xfId="0" applyNumberFormat="1" applyFont="1" applyFill="1" applyBorder="1"/>
    <x:xf numFmtId="0" fontId="36" fillId="27" borderId="27" xfId="0" applyNumberFormat="1" applyFont="1" applyFill="1" applyBorder="1"/>
    <x:xf numFmtId="0" fontId="36" fillId="27" borderId="28" xfId="0" applyNumberFormat="1" applyFont="1" applyFill="1" applyBorder="1"/>
    <x:xf numFmtId="0" fontId="36" fillId="27" borderId="29" xfId="0" applyNumberFormat="1" applyFont="1" applyFill="1" applyBorder="1"/>
    <x:xf numFmtId="0" fontId="36" fillId="27" borderId="27" xfId="0" applyNumberFormat="1" applyFont="1" applyFill="1" applyBorder="1" applyAlignment="1">
      <x:alignment wrapText="1"/>
    </x:xf>
    <x:xf numFmtId="0" fontId="36" fillId="27" borderId="28" xfId="0" applyNumberFormat="1" applyFont="1" applyFill="1" applyBorder="1" applyAlignment="1">
      <x:alignment wrapText="1"/>
    </x:xf>
    <x:xf numFmtId="0" fontId="36" fillId="27" borderId="29" xfId="0" applyNumberFormat="1" applyFont="1" applyFill="1" applyBorder="1" applyAlignment="1">
      <x:alignment wrapText="1"/>
    </x:xf>
    <x:xf numFmtId="0" fontId="36" fillId="27" borderId="27" xfId="0" applyNumberFormat="1" applyFont="1" applyFill="1" applyBorder="1" applyAlignment="1">
      <x:alignment vertical="top" wrapText="1"/>
    </x:xf>
    <x:xf numFmtId="0" fontId="36" fillId="27" borderId="28" xfId="0" applyNumberFormat="1" applyFont="1" applyFill="1" applyBorder="1" applyAlignment="1">
      <x:alignment vertical="top" wrapText="1"/>
    </x:xf>
    <x:xf numFmtId="0" fontId="36" fillId="27" borderId="29" xfId="0" applyNumberFormat="1" applyFont="1" applyFill="1" applyBorder="1" applyAlignment="1">
      <x:alignment vertical="top" wrapText="1"/>
    </x:xf>
    <x:xf numFmtId="0" fontId="45" fillId="26" borderId="0" xfId="0" applyNumberFormat="1" applyFont="1" applyFill="1" applyBorder="1"/>
    <x:xf numFmtId="0" fontId="45" fillId="26" borderId="27" xfId="0" applyNumberFormat="1" applyFont="1" applyFill="1" applyBorder="1"/>
    <x:xf numFmtId="0" fontId="45" fillId="26" borderId="28" xfId="0" applyNumberFormat="1" applyFont="1" applyFill="1" applyBorder="1"/>
    <x:xf numFmtId="0" fontId="45" fillId="26" borderId="29" xfId="0" applyNumberFormat="1" applyFont="1" applyFill="1" applyBorder="1"/>
    <x:xf numFmtId="0" fontId="45" fillId="26" borderId="27" xfId="0" applyNumberFormat="1" applyFont="1" applyFill="1" applyBorder="1" applyAlignment="1">
      <x:alignment horizontal="center"/>
    </x:xf>
    <x:xf numFmtId="0" fontId="45" fillId="26" borderId="28" xfId="0" applyNumberFormat="1" applyFont="1" applyFill="1" applyBorder="1" applyAlignment="1">
      <x:alignment horizontal="center"/>
    </x:xf>
    <x:xf numFmtId="0" fontId="45" fillId="26" borderId="29" xfId="0" applyNumberFormat="1" applyFont="1" applyFill="1" applyBorder="1" applyAlignment="1">
      <x:alignment horizontal="center"/>
    </x:xf>
    <x:xf numFmtId="0" fontId="36" fillId="26" borderId="0" xfId="0" applyNumberFormat="1" applyFont="1" applyFill="1" applyBorder="1"/>
    <x:xf numFmtId="0" fontId="36" fillId="26" borderId="27" xfId="0" applyNumberFormat="1" applyFont="1" applyFill="1" applyBorder="1"/>
    <x:xf numFmtId="0" fontId="36" fillId="26" borderId="28" xfId="0" applyNumberFormat="1" applyFont="1" applyFill="1" applyBorder="1"/>
    <x:xf numFmtId="0" fontId="36" fillId="26" borderId="29" xfId="0" applyNumberFormat="1" applyFont="1" applyFill="1" applyBorder="1"/>
    <x:xf numFmtId="0" fontId="36" fillId="26" borderId="27" xfId="0" applyNumberFormat="1" applyFont="1" applyFill="1" applyBorder="1" applyAlignment="1">
      <x:alignment wrapText="1"/>
    </x:xf>
    <x:xf numFmtId="0" fontId="36" fillId="26" borderId="28" xfId="0" applyNumberFormat="1" applyFont="1" applyFill="1" applyBorder="1" applyAlignment="1">
      <x:alignment wrapText="1"/>
    </x:xf>
    <x:xf numFmtId="0" fontId="36" fillId="26" borderId="29" xfId="0" applyNumberFormat="1" applyFont="1" applyFill="1" applyBorder="1" applyAlignment="1">
      <x:alignment wrapText="1"/>
    </x:xf>
    <x:xf numFmtId="0" fontId="36" fillId="26" borderId="27" xfId="0" applyNumberFormat="1" applyFont="1" applyFill="1" applyBorder="1" applyAlignment="1">
      <x:alignment vertical="top" wrapText="1"/>
    </x:xf>
    <x:xf numFmtId="0" fontId="36" fillId="26" borderId="28" xfId="0" applyNumberFormat="1" applyFont="1" applyFill="1" applyBorder="1" applyAlignment="1">
      <x:alignment vertical="top" wrapText="1"/>
    </x:xf>
    <x:xf numFmtId="0" fontId="36" fillId="26" borderId="29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46" fillId="31" borderId="0" xfId="0" applyNumberFormat="1" applyFont="1" applyFill="1" applyBorder="1"/>
    <x:xf numFmtId="0" fontId="46" fillId="31" borderId="27" xfId="0" applyNumberFormat="1" applyFont="1" applyFill="1" applyBorder="1"/>
    <x:xf numFmtId="0" fontId="46" fillId="31" borderId="28" xfId="0" applyNumberFormat="1" applyFont="1" applyFill="1" applyBorder="1"/>
    <x:xf numFmtId="0" fontId="46" fillId="31" borderId="29" xfId="0" applyNumberFormat="1" applyFont="1" applyFill="1" applyBorder="1"/>
    <x:xf numFmtId="0" fontId="46" fillId="31" borderId="27" xfId="0" applyNumberFormat="1" applyFont="1" applyFill="1" applyBorder="1" applyAlignment="1">
      <x:alignment horizontal="center"/>
    </x:xf>
    <x:xf numFmtId="0" fontId="46" fillId="31" borderId="28" xfId="0" applyNumberFormat="1" applyFont="1" applyFill="1" applyBorder="1" applyAlignment="1">
      <x:alignment horizontal="center"/>
    </x:xf>
    <x:xf numFmtId="0" fontId="46" fillId="31" borderId="29" xfId="0" applyNumberFormat="1" applyFont="1" applyFill="1" applyBorder="1" applyAlignment="1">
      <x:alignment horizontal="center"/>
    </x:xf>
    <x:xf numFmtId="0" fontId="36" fillId="25" borderId="0" xfId="0" applyNumberFormat="1" applyFont="1" applyFill="1" applyBorder="1"/>
    <x:xf numFmtId="0" fontId="36" fillId="25" borderId="27" xfId="0" applyNumberFormat="1" applyFont="1" applyFill="1" applyBorder="1"/>
    <x:xf numFmtId="0" fontId="36" fillId="25" borderId="28" xfId="0" applyNumberFormat="1" applyFont="1" applyFill="1" applyBorder="1"/>
    <x:xf numFmtId="0" fontId="36" fillId="25" borderId="29" xfId="0" applyNumberFormat="1" applyFont="1" applyFill="1" applyBorder="1"/>
    <x:xf numFmtId="0" fontId="36" fillId="25" borderId="27" xfId="0" applyNumberFormat="1" applyFont="1" applyFill="1" applyBorder="1" applyAlignment="1">
      <x:alignment wrapText="1"/>
    </x:xf>
    <x:xf numFmtId="0" fontId="36" fillId="25" borderId="28" xfId="0" applyNumberFormat="1" applyFont="1" applyFill="1" applyBorder="1" applyAlignment="1">
      <x:alignment wrapText="1"/>
    </x:xf>
    <x:xf numFmtId="0" fontId="36" fillId="25" borderId="29" xfId="0" applyNumberFormat="1" applyFont="1" applyFill="1" applyBorder="1" applyAlignment="1">
      <x:alignment wrapText="1"/>
    </x:xf>
    <x:xf numFmtId="0" fontId="36" fillId="25" borderId="27" xfId="0" applyNumberFormat="1" applyFont="1" applyFill="1" applyBorder="1" applyAlignment="1">
      <x:alignment vertical="top" wrapText="1"/>
    </x:xf>
    <x:xf numFmtId="0" fontId="36" fillId="25" borderId="28" xfId="0" applyNumberFormat="1" applyFont="1" applyFill="1" applyBorder="1" applyAlignment="1">
      <x:alignment vertical="top" wrapText="1"/>
    </x:xf>
    <x:xf numFmtId="0" fontId="36" fillId="25" borderId="29" xfId="0" applyNumberFormat="1" applyFont="1" applyFill="1" applyBorder="1" applyAlignment="1">
      <x:alignment vertical="top" wrapText="1"/>
    </x:xf>
    <x:xf numFmtId="0" fontId="36" fillId="28" borderId="0" xfId="0" applyNumberFormat="1" applyFont="1" applyFill="1" applyBorder="1"/>
    <x:xf numFmtId="0" fontId="36" fillId="28" borderId="27" xfId="0" applyNumberFormat="1" applyFont="1" applyFill="1" applyBorder="1"/>
    <x:xf numFmtId="0" fontId="36" fillId="28" borderId="28" xfId="0" applyNumberFormat="1" applyFont="1" applyFill="1" applyBorder="1"/>
    <x:xf numFmtId="0" fontId="36" fillId="28" borderId="29" xfId="0" applyNumberFormat="1" applyFont="1" applyFill="1" applyBorder="1"/>
    <x:xf numFmtId="0" fontId="36" fillId="28" borderId="27" xfId="0" applyNumberFormat="1" applyFont="1" applyFill="1" applyBorder="1" applyAlignment="1">
      <x:alignment wrapText="1"/>
    </x:xf>
    <x:xf numFmtId="0" fontId="36" fillId="28" borderId="28" xfId="0" applyNumberFormat="1" applyFont="1" applyFill="1" applyBorder="1" applyAlignment="1">
      <x:alignment wrapText="1"/>
    </x:xf>
    <x:xf numFmtId="0" fontId="36" fillId="28" borderId="29" xfId="0" applyNumberFormat="1" applyFont="1" applyFill="1" applyBorder="1" applyAlignment="1">
      <x:alignment wrapText="1"/>
    </x:xf>
    <x:xf numFmtId="0" fontId="36" fillId="28" borderId="27" xfId="0" applyNumberFormat="1" applyFont="1" applyFill="1" applyBorder="1" applyAlignment="1">
      <x:alignment vertical="top" wrapText="1"/>
    </x:xf>
    <x:xf numFmtId="0" fontId="36" fillId="28" borderId="28" xfId="0" applyNumberFormat="1" applyFont="1" applyFill="1" applyBorder="1" applyAlignment="1">
      <x:alignment vertical="top" wrapText="1"/>
    </x:xf>
    <x:xf numFmtId="0" fontId="36" fillId="28" borderId="29" xfId="0" applyNumberFormat="1" applyFont="1" applyFill="1" applyBorder="1" applyAlignment="1">
      <x:alignment vertical="top" wrapText="1"/>
    </x:xf>
    <x:xf numFmtId="0" fontId="36" fillId="31" borderId="0" xfId="0" applyNumberFormat="1" applyFont="1" applyFill="1" applyBorder="1"/>
    <x:xf numFmtId="0" fontId="36" fillId="31" borderId="27" xfId="0" applyNumberFormat="1" applyFont="1" applyFill="1" applyBorder="1"/>
    <x:xf numFmtId="0" fontId="36" fillId="31" borderId="28" xfId="0" applyNumberFormat="1" applyFont="1" applyFill="1" applyBorder="1"/>
    <x:xf numFmtId="0" fontId="36" fillId="31" borderId="29" xfId="0" applyNumberFormat="1" applyFont="1" applyFill="1" applyBorder="1"/>
    <x:xf numFmtId="0" fontId="36" fillId="31" borderId="27" xfId="0" applyNumberFormat="1" applyFont="1" applyFill="1" applyBorder="1" applyAlignment="1">
      <x:alignment wrapText="1"/>
    </x:xf>
    <x:xf numFmtId="0" fontId="36" fillId="31" borderId="28" xfId="0" applyNumberFormat="1" applyFont="1" applyFill="1" applyBorder="1" applyAlignment="1">
      <x:alignment wrapText="1"/>
    </x:xf>
    <x:xf numFmtId="0" fontId="36" fillId="31" borderId="29" xfId="0" applyNumberFormat="1" applyFont="1" applyFill="1" applyBorder="1" applyAlignment="1">
      <x:alignment wrapText="1"/>
    </x:xf>
    <x:xf numFmtId="0" fontId="36" fillId="31" borderId="27" xfId="0" applyNumberFormat="1" applyFont="1" applyFill="1" applyBorder="1" applyAlignment="1">
      <x:alignment vertical="top" wrapText="1"/>
    </x:xf>
    <x:xf numFmtId="0" fontId="36" fillId="31" borderId="28" xfId="0" applyNumberFormat="1" applyFont="1" applyFill="1" applyBorder="1" applyAlignment="1">
      <x:alignment vertical="top" wrapText="1"/>
    </x:xf>
    <x:xf numFmtId="0" fontId="36" fillId="31" borderId="29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6" fillId="32" borderId="0" xfId="0" applyNumberFormat="1" applyFont="1" applyFill="1" applyBorder="1"/>
    <x:xf numFmtId="0" fontId="36" fillId="32" borderId="27" xfId="0" applyNumberFormat="1" applyFont="1" applyFill="1" applyBorder="1"/>
    <x:xf numFmtId="0" fontId="36" fillId="32" borderId="28" xfId="0" applyNumberFormat="1" applyFont="1" applyFill="1" applyBorder="1"/>
    <x:xf numFmtId="0" fontId="36" fillId="32" borderId="29" xfId="0" applyNumberFormat="1" applyFont="1" applyFill="1" applyBorder="1"/>
    <x:xf numFmtId="0" fontId="36" fillId="32" borderId="27" xfId="0" applyNumberFormat="1" applyFont="1" applyFill="1" applyBorder="1" applyAlignment="1">
      <x:alignment wrapText="1"/>
    </x:xf>
    <x:xf numFmtId="0" fontId="36" fillId="32" borderId="28" xfId="0" applyNumberFormat="1" applyFont="1" applyFill="1" applyBorder="1" applyAlignment="1">
      <x:alignment wrapText="1"/>
    </x:xf>
    <x:xf numFmtId="0" fontId="36" fillId="32" borderId="29" xfId="0" applyNumberFormat="1" applyFont="1" applyFill="1" applyBorder="1" applyAlignment="1">
      <x:alignment wrapText="1"/>
    </x:xf>
    <x:xf numFmtId="0" fontId="36" fillId="32" borderId="27" xfId="0" applyNumberFormat="1" applyFont="1" applyFill="1" applyBorder="1" applyAlignment="1">
      <x:alignment vertical="top" wrapText="1"/>
    </x:xf>
    <x:xf numFmtId="0" fontId="36" fillId="32" borderId="28" xfId="0" applyNumberFormat="1" applyFont="1" applyFill="1" applyBorder="1" applyAlignment="1">
      <x:alignment vertical="top" wrapText="1"/>
    </x:xf>
    <x:xf numFmtId="0" fontId="36" fillId="32" borderId="29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36" fillId="33" borderId="0" xfId="0" applyNumberFormat="1" applyFont="1" applyFill="1" applyBorder="1"/>
    <x:xf numFmtId="0" fontId="36" fillId="33" borderId="27" xfId="0" applyNumberFormat="1" applyFont="1" applyFill="1" applyBorder="1"/>
    <x:xf numFmtId="0" fontId="36" fillId="33" borderId="28" xfId="0" applyNumberFormat="1" applyFont="1" applyFill="1" applyBorder="1"/>
    <x:xf numFmtId="0" fontId="36" fillId="33" borderId="29" xfId="0" applyNumberFormat="1" applyFont="1" applyFill="1" applyBorder="1"/>
    <x:xf numFmtId="0" fontId="36" fillId="33" borderId="27" xfId="0" applyNumberFormat="1" applyFont="1" applyFill="1" applyBorder="1" applyAlignment="1">
      <x:alignment wrapText="1"/>
    </x:xf>
    <x:xf numFmtId="0" fontId="36" fillId="33" borderId="28" xfId="0" applyNumberFormat="1" applyFont="1" applyFill="1" applyBorder="1" applyAlignment="1">
      <x:alignment wrapText="1"/>
    </x:xf>
    <x:xf numFmtId="0" fontId="36" fillId="33" borderId="29" xfId="0" applyNumberFormat="1" applyFont="1" applyFill="1" applyBorder="1" applyAlignment="1">
      <x:alignment wrapText="1"/>
    </x:xf>
    <x:xf numFmtId="0" fontId="36" fillId="33" borderId="27" xfId="0" applyNumberFormat="1" applyFont="1" applyFill="1" applyBorder="1" applyAlignment="1">
      <x:alignment vertical="top" wrapText="1"/>
    </x:xf>
    <x:xf numFmtId="0" fontId="36" fillId="33" borderId="28" xfId="0" applyNumberFormat="1" applyFont="1" applyFill="1" applyBorder="1" applyAlignment="1">
      <x:alignment vertical="top" wrapText="1"/>
    </x:xf>
    <x:xf numFmtId="0" fontId="36" fillId="33" borderId="29" xfId="0" applyNumberFormat="1" applyFont="1" applyFill="1" applyBorder="1" applyAlignment="1">
      <x:alignment vertical="top" wrapText="1"/>
    </x:xf>
    <x:xf numFmtId="0" fontId="47" fillId="28" borderId="0" xfId="0" applyNumberFormat="1" applyFont="1" applyFill="1" applyBorder="1"/>
    <x:xf numFmtId="0" fontId="47" fillId="28" borderId="27" xfId="0" applyNumberFormat="1" applyFont="1" applyFill="1" applyBorder="1"/>
    <x:xf numFmtId="0" fontId="47" fillId="28" borderId="28" xfId="0" applyNumberFormat="1" applyFont="1" applyFill="1" applyBorder="1"/>
    <x:xf numFmtId="0" fontId="47" fillId="28" borderId="29" xfId="0" applyNumberFormat="1" applyFont="1" applyFill="1" applyBorder="1"/>
    <x:xf numFmtId="0" fontId="47" fillId="28" borderId="27" xfId="0" applyNumberFormat="1" applyFont="1" applyFill="1" applyBorder="1" applyAlignment="1">
      <x:alignment horizontal="center"/>
    </x:xf>
    <x:xf numFmtId="0" fontId="47" fillId="28" borderId="28" xfId="0" applyNumberFormat="1" applyFont="1" applyFill="1" applyBorder="1" applyAlignment="1">
      <x:alignment horizontal="center"/>
    </x:xf>
    <x:xf numFmtId="0" fontId="47" fillId="28" borderId="29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36" fillId="30" borderId="0" xfId="0" applyNumberFormat="1" applyFont="1" applyFill="1" applyBorder="1"/>
    <x:xf numFmtId="0" fontId="36" fillId="30" borderId="27" xfId="0" applyNumberFormat="1" applyFont="1" applyFill="1" applyBorder="1"/>
    <x:xf numFmtId="0" fontId="36" fillId="30" borderId="28" xfId="0" applyNumberFormat="1" applyFont="1" applyFill="1" applyBorder="1"/>
    <x:xf numFmtId="0" fontId="36" fillId="30" borderId="29" xfId="0" applyNumberFormat="1" applyFont="1" applyFill="1" applyBorder="1"/>
    <x:xf numFmtId="0" fontId="36" fillId="30" borderId="27" xfId="0" applyNumberFormat="1" applyFont="1" applyFill="1" applyBorder="1" applyAlignment="1">
      <x:alignment wrapText="1"/>
    </x:xf>
    <x:xf numFmtId="0" fontId="36" fillId="30" borderId="28" xfId="0" applyNumberFormat="1" applyFont="1" applyFill="1" applyBorder="1" applyAlignment="1">
      <x:alignment wrapText="1"/>
    </x:xf>
    <x:xf numFmtId="0" fontId="36" fillId="30" borderId="29" xfId="0" applyNumberFormat="1" applyFont="1" applyFill="1" applyBorder="1" applyAlignment="1">
      <x:alignment wrapText="1"/>
    </x:xf>
    <x:xf numFmtId="0" fontId="36" fillId="30" borderId="27" xfId="0" applyNumberFormat="1" applyFont="1" applyFill="1" applyBorder="1" applyAlignment="1">
      <x:alignment vertical="top" wrapText="1"/>
    </x:xf>
    <x:xf numFmtId="0" fontId="36" fillId="30" borderId="28" xfId="0" applyNumberFormat="1" applyFont="1" applyFill="1" applyBorder="1" applyAlignment="1">
      <x:alignment vertical="top" wrapText="1"/>
    </x:xf>
    <x:xf numFmtId="0" fontId="36" fillId="30" borderId="29" xfId="0" applyNumberFormat="1" applyFont="1" applyFill="1" applyBorder="1" applyAlignment="1">
      <x:alignment vertical="top" wrapText="1"/>
    </x:xf>
    <x:xf numFmtId="0" fontId="37" fillId="29" borderId="27" xfId="0" applyNumberFormat="1" applyFont="1" applyFill="1" applyBorder="1" applyAlignment="1">
      <x:alignment vertical="top" wrapText="1"/>
    </x:xf>
    <x:xf numFmtId="0" fontId="37" fillId="29" borderId="28" xfId="0" applyNumberFormat="1" applyFont="1" applyFill="1" applyBorder="1" applyAlignment="1">
      <x:alignment vertical="top" wrapText="1"/>
    </x:xf>
    <x:xf numFmtId="0" fontId="37" fillId="30" borderId="27" xfId="0" applyNumberFormat="1" applyFont="1" applyFill="1" applyBorder="1" applyAlignment="1">
      <x:alignment vertical="top" wrapText="1"/>
    </x:xf>
    <x:xf numFmtId="0" fontId="37" fillId="30" borderId="28" xfId="0" applyNumberFormat="1" applyFont="1" applyFill="1" applyBorder="1" applyAlignment="1">
      <x:alignment vertical="top" wrapText="1"/>
    </x:xf>
    <x:xf numFmtId="0" fontId="38" fillId="29" borderId="27" xfId="0" applyNumberFormat="1" applyFont="1" applyFill="1" applyBorder="1" applyAlignment="1">
      <x:alignment vertical="top" wrapText="1"/>
    </x:xf>
    <x:xf numFmtId="0" fontId="38" fillId="29" borderId="28" xfId="0" applyNumberFormat="1" applyFont="1" applyFill="1" applyBorder="1" applyAlignment="1">
      <x:alignment vertical="top" wrapText="1"/>
    </x:xf>
    <x:xf numFmtId="0" fontId="38" fillId="27" borderId="27" xfId="0" applyNumberFormat="1" applyFont="1" applyFill="1" applyBorder="1" applyAlignment="1">
      <x:alignment vertical="top" wrapText="1"/>
    </x:xf>
    <x:xf numFmtId="0" fontId="38" fillId="27" borderId="28" xfId="0" applyNumberFormat="1" applyFont="1" applyFill="1" applyBorder="1" applyAlignment="1">
      <x:alignment vertical="top" wrapText="1"/>
    </x:xf>
    <x:xf numFmtId="0" fontId="39" fillId="29" borderId="27" xfId="0" applyNumberFormat="1" applyFont="1" applyFill="1" applyBorder="1" applyAlignment="1">
      <x:alignment vertical="top" wrapText="1"/>
    </x:xf>
    <x:xf numFmtId="0" fontId="39" fillId="29" borderId="28" xfId="0" applyNumberFormat="1" applyFont="1" applyFill="1" applyBorder="1" applyAlignment="1">
      <x:alignment vertical="top" wrapText="1"/>
    </x:xf>
    <x:xf numFmtId="0" fontId="39" fillId="26" borderId="27" xfId="0" applyNumberFormat="1" applyFont="1" applyFill="1" applyBorder="1" applyAlignment="1">
      <x:alignment vertical="top" wrapText="1"/>
    </x:xf>
    <x:xf numFmtId="0" fontId="39" fillId="26" borderId="28" xfId="0" applyNumberFormat="1" applyFont="1" applyFill="1" applyBorder="1" applyAlignment="1">
      <x:alignment vertical="top" wrapText="1"/>
    </x:xf>
    <x:xf numFmtId="0" fontId="40" fillId="29" borderId="27" xfId="0" applyNumberFormat="1" applyFont="1" applyFill="1" applyBorder="1" applyAlignment="1">
      <x:alignment vertical="top" wrapText="1"/>
    </x:xf>
    <x:xf numFmtId="0" fontId="40" fillId="29" borderId="28" xfId="0" applyNumberFormat="1" applyFont="1" applyFill="1" applyBorder="1" applyAlignment="1">
      <x:alignment vertical="top" wrapText="1"/>
    </x:xf>
    <x:xf numFmtId="0" fontId="40" fillId="28" borderId="27" xfId="0" applyNumberFormat="1" applyFont="1" applyFill="1" applyBorder="1" applyAlignment="1">
      <x:alignment vertical="top" wrapText="1"/>
    </x:xf>
    <x:xf numFmtId="0" fontId="40" fillId="28" borderId="28" xfId="0" applyNumberFormat="1" applyFont="1" applyFill="1" applyBorder="1" applyAlignment="1">
      <x:alignment vertical="top" wrapText="1"/>
    </x:xf>
    <x:xf numFmtId="0" fontId="41" fillId="29" borderId="27" xfId="0" applyNumberFormat="1" applyFont="1" applyFill="1" applyBorder="1" applyAlignment="1">
      <x:alignment vertical="top" wrapText="1"/>
    </x:xf>
    <x:xf numFmtId="0" fontId="41" fillId="29" borderId="28" xfId="0" applyNumberFormat="1" applyFont="1" applyFill="1" applyBorder="1" applyAlignment="1">
      <x:alignment vertical="top" wrapText="1"/>
    </x:xf>
    <x:xf numFmtId="0" fontId="41" fillId="31" borderId="27" xfId="0" applyNumberFormat="1" applyFont="1" applyFill="1" applyBorder="1" applyAlignment="1">
      <x:alignment vertical="top" wrapText="1"/>
    </x:xf>
    <x:xf numFmtId="0" fontId="41" fillId="31" borderId="28" xfId="0" applyNumberFormat="1" applyFont="1" applyFill="1" applyBorder="1" applyAlignment="1">
      <x:alignment vertical="top" wrapText="1"/>
    </x:xf>
    <x:xf numFmtId="0" fontId="42" fillId="29" borderId="27" xfId="0" applyNumberFormat="1" applyFont="1" applyFill="1" applyBorder="1" applyAlignment="1">
      <x:alignment vertical="top" wrapText="1"/>
    </x:xf>
    <x:xf numFmtId="0" fontId="42" fillId="29" borderId="28" xfId="0" applyNumberFormat="1" applyFont="1" applyFill="1" applyBorder="1" applyAlignment="1">
      <x:alignment vertical="top" wrapText="1"/>
    </x:xf>
    <x:xf numFmtId="0" fontId="42" fillId="32" borderId="27" xfId="0" applyNumberFormat="1" applyFont="1" applyFill="1" applyBorder="1" applyAlignment="1">
      <x:alignment vertical="top" wrapText="1"/>
    </x:xf>
    <x:xf numFmtId="0" fontId="42" fillId="32" borderId="28" xfId="0" applyNumberFormat="1" applyFont="1" applyFill="1" applyBorder="1" applyAlignment="1">
      <x:alignment vertical="top" wrapText="1"/>
    </x:xf>
    <x:xf numFmtId="0" fontId="43" fillId="29" borderId="27" xfId="0" applyNumberFormat="1" applyFont="1" applyFill="1" applyBorder="1" applyAlignment="1">
      <x:alignment vertical="top" wrapText="1"/>
    </x:xf>
    <x:xf numFmtId="0" fontId="43" fillId="29" borderId="28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/>
    <x:xf numFmtId="0" fontId="48" fillId="25" borderId="0" xfId="0" applyNumberFormat="1" applyFont="1" applyFill="1" applyBorder="1"/>
    <x:xf numFmtId="0" fontId="48" fillId="25" borderId="27" xfId="0" applyNumberFormat="1" applyFont="1" applyFill="1" applyBorder="1"/>
    <x:xf numFmtId="0" fontId="48" fillId="25" borderId="28" xfId="0" applyNumberFormat="1" applyFont="1" applyFill="1" applyBorder="1"/>
    <x:xf numFmtId="0" fontId="48" fillId="25" borderId="29" xfId="0" applyNumberFormat="1" applyFont="1" applyFill="1" applyBorder="1"/>
    <x:xf numFmtId="0" fontId="48" fillId="25" borderId="27" xfId="0" applyNumberFormat="1" applyFont="1" applyFill="1" applyBorder="1" applyAlignment="1">
      <x:alignment horizontal="center"/>
    </x:xf>
    <x:xf numFmtId="0" fontId="48" fillId="25" borderId="28" xfId="0" applyNumberFormat="1" applyFont="1" applyFill="1" applyBorder="1" applyAlignment="1">
      <x:alignment horizontal="center"/>
    </x:xf>
    <x:xf numFmtId="0" fontId="48" fillId="25" borderId="29" xfId="0" applyNumberFormat="1" applyFont="1" applyFill="1" applyBorder="1" applyAlignment="1">
      <x:alignment horizontal="center"/>
    </x:xf>
    <x:xf numFmtId="0" fontId="6" fillId="29" borderId="0" xfId="0" applyNumberFormat="1" applyFont="1" applyFill="1" applyBorder="1"/>
    <x:xf numFmtId="0" fontId="6" fillId="29" borderId="27" xfId="0" applyNumberFormat="1" applyFont="1" applyFill="1" applyBorder="1"/>
    <x:xf numFmtId="0" fontId="6" fillId="29" borderId="28" xfId="0" applyNumberFormat="1" applyFont="1" applyFill="1" applyBorder="1"/>
    <x:xf numFmtId="0" fontId="6" fillId="29" borderId="29" xfId="0" applyNumberFormat="1" applyFont="1" applyFill="1" applyBorder="1"/>
    <x:xf numFmtId="0" fontId="6" fillId="29" borderId="27" xfId="0" applyNumberFormat="1" applyFont="1" applyFill="1" applyBorder="1" applyAlignment="1">
      <x:alignment wrapText="1"/>
    </x:xf>
    <x:xf numFmtId="0" fontId="6" fillId="29" borderId="28" xfId="0" applyNumberFormat="1" applyFont="1" applyFill="1" applyBorder="1" applyAlignment="1">
      <x:alignment wrapText="1"/>
    </x:xf>
    <x:xf numFmtId="0" fontId="6" fillId="29" borderId="29" xfId="0" applyNumberFormat="1" applyFont="1" applyFill="1" applyBorder="1" applyAlignment="1">
      <x:alignment wrapText="1"/>
    </x:xf>
    <x:xf numFmtId="0" fontId="6" fillId="29" borderId="27" xfId="0" applyNumberFormat="1" applyFont="1" applyFill="1" applyBorder="1" applyAlignment="1">
      <x:alignment vertical="center" wrapText="1"/>
    </x:xf>
    <x:xf numFmtId="0" fontId="6" fillId="29" borderId="28" xfId="0" applyNumberFormat="1" applyFont="1" applyFill="1" applyBorder="1" applyAlignment="1">
      <x:alignment vertical="center" wrapText="1"/>
    </x:xf>
    <x:xf numFmtId="0" fontId="6" fillId="29" borderId="29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/>
    <x:xf numFmtId="0" fontId="6" fillId="27" borderId="27" xfId="0" applyNumberFormat="1" applyFont="1" applyFill="1" applyBorder="1"/>
    <x:xf numFmtId="0" fontId="6" fillId="27" borderId="28" xfId="0" applyNumberFormat="1" applyFont="1" applyFill="1" applyBorder="1"/>
    <x:xf numFmtId="0" fontId="6" fillId="27" borderId="29" xfId="0" applyNumberFormat="1" applyFont="1" applyFill="1" applyBorder="1"/>
    <x:xf numFmtId="0" fontId="6" fillId="27" borderId="27" xfId="0" applyNumberFormat="1" applyFont="1" applyFill="1" applyBorder="1" applyAlignment="1">
      <x:alignment wrapText="1"/>
    </x:xf>
    <x:xf numFmtId="0" fontId="6" fillId="27" borderId="28" xfId="0" applyNumberFormat="1" applyFont="1" applyFill="1" applyBorder="1" applyAlignment="1">
      <x:alignment wrapText="1"/>
    </x:xf>
    <x:xf numFmtId="0" fontId="6" fillId="27" borderId="29" xfId="0" applyNumberFormat="1" applyFont="1" applyFill="1" applyBorder="1" applyAlignment="1">
      <x:alignment wrapText="1"/>
    </x:xf>
    <x:xf numFmtId="0" fontId="6" fillId="27" borderId="27" xfId="0" applyNumberFormat="1" applyFont="1" applyFill="1" applyBorder="1" applyAlignment="1">
      <x:alignment vertical="center" wrapText="1"/>
    </x:xf>
    <x:xf numFmtId="0" fontId="6" fillId="27" borderId="28" xfId="0" applyNumberFormat="1" applyFont="1" applyFill="1" applyBorder="1" applyAlignment="1">
      <x:alignment vertical="center" wrapText="1"/>
    </x:xf>
    <x:xf numFmtId="0" fontId="6" fillId="27" borderId="29" xfId="0" applyNumberFormat="1" applyFont="1" applyFill="1" applyBorder="1" applyAlignment="1">
      <x:alignment vertical="center" wrapText="1"/>
    </x:xf>
    <x:xf numFmtId="0" fontId="5" fillId="29" borderId="27" xfId="0" applyNumberFormat="1" applyFont="1" applyFill="1" applyBorder="1" applyAlignment="1">
      <x:alignment vertical="center" wrapText="1"/>
    </x:xf>
    <x:xf numFmtId="0" fontId="5" fillId="29" borderId="28" xfId="0" applyNumberFormat="1" applyFont="1" applyFill="1" applyBorder="1" applyAlignment="1">
      <x:alignment vertical="center" wrapText="1"/>
    </x:xf>
    <x:xf numFmtId="0" fontId="5" fillId="27" borderId="27" xfId="0" applyNumberFormat="1" applyFont="1" applyFill="1" applyBorder="1" applyAlignment="1">
      <x:alignment vertical="center" wrapText="1"/>
    </x:xf>
    <x:xf numFmtId="0" fontId="5" fillId="27" borderId="28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33" fillId="15" borderId="0" xfId="0" applyNumberFormat="1" applyFont="1" applyFill="1" applyBorder="1"/>
    <x:xf numFmtId="0" fontId="33" fillId="15" borderId="0" xfId="0" applyNumberFormat="1" applyFont="1" applyFill="1" applyBorder="1" applyAlignment="1">
      <x:alignment horizontal="center"/>
    </x:xf>
    <x:xf numFmtId="0" fontId="33" fillId="15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4" fillId="17" borderId="0" xfId="0" applyNumberFormat="1" applyFont="1" applyFill="1" applyBorder="1"/>
    <x:xf numFmtId="0" fontId="34" fillId="17" borderId="0" xfId="0" applyNumberFormat="1" applyFont="1" applyFill="1" applyBorder="1" applyAlignment="1">
      <x:alignment wrapText="1"/>
    </x:xf>
    <x:xf numFmtId="0" fontId="35" fillId="15" borderId="0" xfId="0" applyNumberFormat="1" applyFont="1" applyFill="1" applyBorder="1"/>
    <x:xf numFmtId="0" fontId="35" fillId="15" borderId="0" xfId="0" applyNumberFormat="1" applyFont="1" applyFill="1" applyBorder="1" applyAlignment="1">
      <x:alignment wrapText="1"/>
    </x:xf>
    <x:xf numFmtId="0" fontId="35" fillId="15" borderId="0" xfId="0" applyNumberFormat="1" applyFont="1" applyFill="1" applyBorder="1" applyAlignment="1">
      <x:alignment horizontal="center" wrapText="1"/>
    </x:xf>
    <x:xf numFmtId="0" fontId="35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5" fillId="16" borderId="0" xfId="0" applyNumberFormat="1" applyFont="1" applyFill="1" applyBorder="1"/>
    <x:xf numFmtId="0" fontId="35" fillId="16" borderId="0" xfId="0" applyNumberFormat="1" applyFont="1" applyFill="1" applyBorder="1" applyAlignment="1">
      <x:alignment wrapText="1"/>
    </x:xf>
    <x:xf numFmtId="0" fontId="35" fillId="16" borderId="0" xfId="0" applyNumberFormat="1" applyFont="1" applyFill="1" applyBorder="1" applyAlignment="1">
      <x:alignment horizontal="center" wrapText="1"/>
    </x:xf>
    <x:xf numFmtId="0" fontId="35" fillId="16" borderId="0" xfId="0" applyNumberFormat="1" applyFont="1" applyFill="1" applyBorder="1" applyAlignment="1">
      <x:alignment horizontal="center" vertical="center" wrapText="1"/>
    </x:xf>
    <x:xf numFmtId="0" fontId="35" fillId="17" borderId="0" xfId="0" applyNumberFormat="1" applyFont="1" applyFill="1" applyBorder="1"/>
    <x:xf numFmtId="0" fontId="35" fillId="17" borderId="0" xfId="0" applyNumberFormat="1" applyFont="1" applyFill="1" applyBorder="1" applyAlignment="1">
      <x:alignment wrapText="1"/>
    </x:xf>
    <x:xf numFmtId="0" fontId="35" fillId="17" borderId="0" xfId="0" applyNumberFormat="1" applyFont="1" applyFill="1" applyBorder="1" applyAlignment="1">
      <x:alignment horizontal="center" wrapText="1"/>
    </x:xf>
    <x:xf numFmtId="0" fontId="35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35" fillId="18" borderId="0" xfId="0" applyNumberFormat="1" applyFont="1" applyFill="1" applyBorder="1"/>
    <x:xf numFmtId="0" fontId="35" fillId="18" borderId="0" xfId="0" applyNumberFormat="1" applyFont="1" applyFill="1" applyBorder="1" applyAlignment="1">
      <x:alignment wrapText="1"/>
    </x:xf>
    <x:xf numFmtId="0" fontId="35" fillId="18" borderId="0" xfId="0" applyNumberFormat="1" applyFont="1" applyFill="1" applyBorder="1" applyAlignment="1">
      <x:alignment horizontal="center" wrapText="1"/>
    </x:xf>
    <x:xf numFmtId="0" fontId="35" fillId="18" borderId="0" xfId="0" applyNumberFormat="1" applyFont="1" applyFill="1" applyBorder="1" applyAlignment="1">
      <x:alignment horizontal="center" vertical="center" wrapText="1"/>
    </x:xf>
    <x:xf numFmtId="0" fontId="36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top" wrapText="1"/>
    </x:xf>
    <x:xf numFmtId="0" fontId="36" fillId="23" borderId="0" xfId="0" applyNumberFormat="1" applyFont="1" applyFill="1" applyBorder="1" applyAlignment="1">
      <x:alignment vertical="top" wrapText="1"/>
    </x:xf>
    <x:xf numFmtId="0" fontId="36" fillId="19" borderId="0" xfId="0" applyNumberFormat="1" applyFont="1" applyFill="1" applyBorder="1" applyAlignment="1">
      <x:alignment vertical="top" wrapText="1"/>
    </x:xf>
    <x:xf numFmtId="0" fontId="36" fillId="19" xfId="0" applyNumberFormat="1" applyFont="1" applyFill="1" applyBorder="0" applyAlignment="1">
      <x:alignment vertical="top" wrapText="1"/>
    </x:xf>
    <x:xf numFmtId="0" fontId="36" fillId="23" xfId="0" applyNumberFormat="1" applyFont="1" applyFill="1" applyBorder="0" applyAlignment="1">
      <x:alignment vertical="top" wrapText="1"/>
    </x:xf>
    <x:xf numFmtId="0" fontId="37" fillId="23" borderId="0" xfId="0" applyNumberFormat="1" applyFont="1" applyFill="1" applyBorder="1" applyAlignment="1">
      <x:alignment vertical="top" wrapText="1"/>
    </x:xf>
    <x:xf numFmtId="0" fontId="37" fillId="19" borderId="0" xfId="0" applyNumberFormat="1" applyFont="1" applyFill="1" applyBorder="1" applyAlignment="1">
      <x:alignment vertical="top" wrapText="1"/>
    </x:xf>
    <x:xf numFmtId="0" fontId="37" fillId="19" xfId="0" applyNumberFormat="1" applyFont="1" applyFill="1" applyBorder="0" applyAlignment="1">
      <x:alignment vertical="top" wrapText="1"/>
    </x:xf>
    <x:xf numFmtId="0" fontId="37" fillId="23" xfId="0" applyNumberFormat="1" applyFont="1" applyFill="1" applyBorder="0" applyAlignment="1">
      <x:alignment vertical="top" wrapText="1"/>
    </x:xf>
    <x:xf numFmtId="0" fontId="36" fillId="16" borderId="0" xfId="0" applyNumberFormat="1" applyFont="1" applyFill="1" applyBorder="1" applyAlignment="1">
      <x:alignment vertical="top" wrapText="1"/>
    </x:xf>
    <x:xf numFmtId="0" fontId="36" fillId="16" xfId="0" applyNumberFormat="1" applyFont="1" applyFill="1" applyBorder="0" applyAlignment="1">
      <x:alignment vertical="top" wrapText="1"/>
    </x:xf>
    <x:xf numFmtId="0" fontId="38" fillId="23" borderId="0" xfId="0" applyNumberFormat="1" applyFont="1" applyFill="1" applyBorder="1" applyAlignment="1">
      <x:alignment vertical="top" wrapText="1"/>
    </x:xf>
    <x:xf numFmtId="0" fontId="38" fillId="23" xfId="0" applyNumberFormat="1" applyFont="1" applyFill="1" applyBorder="0" applyAlignment="1">
      <x:alignment vertical="top" wrapText="1"/>
    </x:xf>
    <x:xf numFmtId="0" fontId="38" fillId="16" borderId="0" xfId="0" applyNumberFormat="1" applyFont="1" applyFill="1" applyBorder="1" applyAlignment="1">
      <x:alignment vertical="top" wrapText="1"/>
    </x:xf>
    <x:xf numFmtId="0" fontId="38" fillId="16" xfId="0" applyNumberFormat="1" applyFont="1" applyFill="1" applyBorder="0" applyAlignment="1">
      <x:alignment vertical="top" wrapText="1"/>
    </x:xf>
    <x:xf numFmtId="0" fontId="36" fillId="17" borderId="0" xfId="0" applyNumberFormat="1" applyFont="1" applyFill="1" applyBorder="1" applyAlignment="1">
      <x:alignment vertical="top" wrapText="1"/>
    </x:xf>
    <x:xf numFmtId="0" fontId="36" fillId="17" xfId="0" applyNumberFormat="1" applyFont="1" applyFill="1" applyBorder="0" applyAlignment="1">
      <x:alignment vertical="top" wrapText="1"/>
    </x:xf>
    <x:xf numFmtId="0" fontId="39" fillId="23" borderId="0" xfId="0" applyNumberFormat="1" applyFont="1" applyFill="1" applyBorder="1" applyAlignment="1">
      <x:alignment vertical="top" wrapText="1"/>
    </x:xf>
    <x:xf numFmtId="0" fontId="39" fillId="23" xfId="0" applyNumberFormat="1" applyFont="1" applyFill="1" applyBorder="0" applyAlignment="1">
      <x:alignment vertical="top" wrapText="1"/>
    </x:xf>
    <x:xf numFmtId="0" fontId="39" fillId="17" borderId="0" xfId="0" applyNumberFormat="1" applyFont="1" applyFill="1" applyBorder="1" applyAlignment="1">
      <x:alignment vertical="top" wrapText="1"/>
    </x:xf>
    <x:xf numFmtId="0" fontId="39" fillId="17" xfId="0" applyNumberFormat="1" applyFont="1" applyFill="1" applyBorder="0" applyAlignment="1">
      <x:alignment vertical="top" wrapText="1"/>
    </x:xf>
    <x:xf numFmtId="0" fontId="36" fillId="18" borderId="0" xfId="0" applyNumberFormat="1" applyFont="1" applyFill="1" applyBorder="1" applyAlignment="1">
      <x:alignment vertical="top" wrapText="1"/>
    </x:xf>
    <x:xf numFmtId="0" fontId="36" fillId="18" xfId="0" applyNumberFormat="1" applyFont="1" applyFill="1" applyBorder="0" applyAlignment="1">
      <x:alignment vertical="top" wrapText="1"/>
    </x:xf>
    <x:xf numFmtId="0" fontId="40" fillId="23" borderId="0" xfId="0" applyNumberFormat="1" applyFont="1" applyFill="1" applyBorder="1" applyAlignment="1">
      <x:alignment vertical="top" wrapText="1"/>
    </x:xf>
    <x:xf numFmtId="0" fontId="40" fillId="23" xfId="0" applyNumberFormat="1" applyFont="1" applyFill="1" applyBorder="0" applyAlignment="1">
      <x:alignment vertical="top" wrapText="1"/>
    </x:xf>
    <x:xf numFmtId="0" fontId="40" fillId="18" borderId="0" xfId="0" applyNumberFormat="1" applyFont="1" applyFill="1" applyBorder="1" applyAlignment="1">
      <x:alignment vertical="top" wrapText="1"/>
    </x:xf>
    <x:xf numFmtId="0" fontId="40" fillId="18" xfId="0" applyNumberFormat="1" applyFont="1" applyFill="1" applyBorder="0" applyAlignment="1">
      <x:alignment vertical="top" wrapText="1"/>
    </x:xf>
    <x:xf numFmtId="0" fontId="36" fillId="20" borderId="0" xfId="0" applyNumberFormat="1" applyFont="1" applyFill="1" applyBorder="1" applyAlignment="1">
      <x:alignment vertical="top" wrapText="1"/>
    </x:xf>
    <x:xf numFmtId="0" fontId="36" fillId="20" xfId="0" applyNumberFormat="1" applyFont="1" applyFill="1" applyBorder="0" applyAlignment="1">
      <x:alignment vertical="top" wrapText="1"/>
    </x:xf>
    <x:xf numFmtId="0" fontId="41" fillId="23" borderId="0" xfId="0" applyNumberFormat="1" applyFont="1" applyFill="1" applyBorder="1" applyAlignment="1">
      <x:alignment vertical="top" wrapText="1"/>
    </x:xf>
    <x:xf numFmtId="0" fontId="41" fillId="23" xfId="0" applyNumberFormat="1" applyFont="1" applyFill="1" applyBorder="0" applyAlignment="1">
      <x:alignment vertical="top" wrapText="1"/>
    </x:xf>
    <x:xf numFmtId="0" fontId="41" fillId="20" borderId="0" xfId="0" applyNumberFormat="1" applyFont="1" applyFill="1" applyBorder="1" applyAlignment="1">
      <x:alignment vertical="top" wrapText="1"/>
    </x:xf>
    <x:xf numFmtId="0" fontId="41" fillId="20" xfId="0" applyNumberFormat="1" applyFont="1" applyFill="1" applyBorder="0" applyAlignment="1">
      <x:alignment vertical="top" wrapText="1"/>
    </x:xf>
    <x:xf numFmtId="0" fontId="36" fillId="21" borderId="0" xfId="0" applyNumberFormat="1" applyFont="1" applyFill="1" applyBorder="1" applyAlignment="1">
      <x:alignment vertical="top" wrapText="1"/>
    </x:xf>
    <x:xf numFmtId="0" fontId="36" fillId="21" xfId="0" applyNumberFormat="1" applyFont="1" applyFill="1" applyBorder="0" applyAlignment="1">
      <x:alignment vertical="top" wrapText="1"/>
    </x:xf>
    <x:xf numFmtId="0" fontId="42" fillId="23" borderId="0" xfId="0" applyNumberFormat="1" applyFont="1" applyFill="1" applyBorder="1" applyAlignment="1">
      <x:alignment vertical="top" wrapText="1"/>
    </x:xf>
    <x:xf numFmtId="0" fontId="42" fillId="23" xfId="0" applyNumberFormat="1" applyFont="1" applyFill="1" applyBorder="0" applyAlignment="1">
      <x:alignment vertical="top" wrapText="1"/>
    </x:xf>
    <x:xf numFmtId="0" fontId="42" fillId="21" borderId="0" xfId="0" applyNumberFormat="1" applyFont="1" applyFill="1" applyBorder="1" applyAlignment="1">
      <x:alignment vertical="top" wrapText="1"/>
    </x:xf>
    <x:xf numFmtId="0" fontId="42" fillId="21" xfId="0" applyNumberFormat="1" applyFont="1" applyFill="1" applyBorder="0" applyAlignment="1">
      <x:alignment vertical="top" wrapText="1"/>
    </x:xf>
    <x:xf numFmtId="0" fontId="36" fillId="22" borderId="0" xfId="0" applyNumberFormat="1" applyFont="1" applyFill="1" applyBorder="1" applyAlignment="1">
      <x:alignment vertical="top" wrapText="1"/>
    </x:xf>
    <x:xf numFmtId="0" fontId="36" fillId="22" xfId="0" applyNumberFormat="1" applyFont="1" applyFill="1" applyBorder="0" applyAlignment="1">
      <x:alignment vertical="top" wrapText="1"/>
    </x:xf>
    <x:xf numFmtId="0" fontId="43" fillId="23" borderId="0" xfId="0" applyNumberFormat="1" applyFont="1" applyFill="1" applyBorder="1" applyAlignment="1">
      <x:alignment vertical="top" wrapText="1"/>
    </x:xf>
    <x:xf numFmtId="0" fontId="43" fillId="23" xfId="0" applyNumberFormat="1" applyFont="1" applyFill="1" applyBorder="0" applyAlignment="1">
      <x:alignment vertical="top" wrapText="1"/>
    </x:xf>
    <x:xf numFmtId="0" fontId="43" fillId="22" borderId="0" xfId="0" applyNumberFormat="1" applyFont="1" applyFill="1" applyBorder="1" applyAlignment="1">
      <x:alignment vertical="top" wrapText="1"/>
    </x:xf>
    <x:xf numFmtId="0" fontId="43" fillId="22" xfId="0" applyNumberFormat="1" applyFont="1" applyFill="1" applyBorder="0" applyAlignment="1">
      <x:alignment vertical="top" wrapText="1"/>
    </x:xf>
    <x:xf numFmtId="0" fontId="44" fillId="16" borderId="0" xfId="0" applyNumberFormat="1" applyFont="1" applyFill="1" applyBorder="1"/>
    <x:xf numFmtId="0" fontId="44" fillId="16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36" fillId="23" borderId="0" xfId="0" applyNumberFormat="1" applyFont="1" applyFill="1" applyBorder="1"/>
    <x:xf numFmtId="0" fontId="36" fillId="23" borderId="0" xfId="0" applyNumberFormat="1" applyFont="1" applyFill="1" applyBorder="1" applyAlignment="1">
      <x:alignment wrapText="1"/>
    </x:xf>
    <x:xf numFmtId="0" fontId="36" fillId="16" borderId="0" xfId="0" applyNumberFormat="1" applyFont="1" applyFill="1" applyBorder="1"/>
    <x:xf numFmtId="0" fontId="36" fillId="16" borderId="0" xfId="0" applyNumberFormat="1" applyFont="1" applyFill="1" applyBorder="1" applyAlignment="1">
      <x:alignment wrapText="1"/>
    </x:xf>
    <x:xf numFmtId="0" fontId="45" fillId="17" borderId="0" xfId="0" applyNumberFormat="1" applyFont="1" applyFill="1" applyBorder="1"/>
    <x:xf numFmtId="0" fontId="45" fillId="17" borderId="0" xfId="0" applyNumberFormat="1" applyFont="1" applyFill="1" applyBorder="1" applyAlignment="1">
      <x:alignment horizontal="center"/>
    </x:xf>
    <x:xf numFmtId="0" fontId="36" fillId="17" borderId="0" xfId="0" applyNumberFormat="1" applyFont="1" applyFill="1" applyBorder="1"/>
    <x:xf numFmtId="0" fontId="36" fillId="17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46" fillId="20" borderId="0" xfId="0" applyNumberFormat="1" applyFont="1" applyFill="1" applyBorder="1"/>
    <x:xf numFmtId="0" fontId="46" fillId="20" borderId="0" xfId="0" applyNumberFormat="1" applyFont="1" applyFill="1" applyBorder="1" applyAlignment="1">
      <x:alignment horizontal="center"/>
    </x:xf>
    <x:xf numFmtId="0" fontId="36" fillId="15" borderId="0" xfId="0" applyNumberFormat="1" applyFont="1" applyFill="1" applyBorder="1"/>
    <x:xf numFmtId="0" fontId="36" fillId="15" borderId="0" xfId="0" applyNumberFormat="1" applyFont="1" applyFill="1" applyBorder="1" applyAlignment="1">
      <x:alignment wrapText="1"/>
    </x:xf>
    <x:xf numFmtId="0" fontId="36" fillId="15" borderId="0" xfId="0" applyNumberFormat="1" applyFont="1" applyFill="1" applyBorder="1" applyAlignment="1">
      <x:alignment vertical="top" wrapText="1"/>
    </x:xf>
    <x:xf numFmtId="0" fontId="36" fillId="18" borderId="0" xfId="0" applyNumberFormat="1" applyFont="1" applyFill="1" applyBorder="1"/>
    <x:xf numFmtId="0" fontId="36" fillId="18" borderId="0" xfId="0" applyNumberFormat="1" applyFont="1" applyFill="1" applyBorder="1" applyAlignment="1">
      <x:alignment wrapText="1"/>
    </x:xf>
    <x:xf numFmtId="0" fontId="36" fillId="20" borderId="0" xfId="0" applyNumberFormat="1" applyFont="1" applyFill="1" applyBorder="1"/>
    <x:xf numFmtId="0" fontId="36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36" fillId="21" borderId="0" xfId="0" applyNumberFormat="1" applyFont="1" applyFill="1" applyBorder="1"/>
    <x:xf numFmtId="0" fontId="36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6" fillId="22" borderId="0" xfId="0" applyNumberFormat="1" applyFont="1" applyFill="1" applyBorder="1"/>
    <x:xf numFmtId="0" fontId="36" fillId="22" borderId="0" xfId="0" applyNumberFormat="1" applyFont="1" applyFill="1" applyBorder="1" applyAlignment="1">
      <x:alignment wrapText="1"/>
    </x:xf>
    <x:xf numFmtId="0" fontId="47" fillId="18" borderId="0" xfId="0" applyNumberFormat="1" applyFont="1" applyFill="1" applyBorder="1"/>
    <x:xf numFmtId="0" fontId="47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36" fillId="19" borderId="0" xfId="0" applyNumberFormat="1" applyFont="1" applyFill="1" applyBorder="1"/>
    <x:xf numFmtId="0" fontId="36" fillId="19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/>
    <x:xf numFmtId="0" fontId="48" fillId="15" borderId="0" xfId="0" applyNumberFormat="1" applyFont="1" applyFill="1" applyBorder="1"/>
    <x:xf numFmtId="0" fontId="48" fillId="15" borderId="0" xfId="0" applyNumberFormat="1" applyFont="1" applyFill="1" applyBorder="1" applyAlignment="1">
      <x:alignment horizontal="center"/>
    </x:xf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36" fillId="34" borderId="0" xfId="0" applyNumberFormat="1" applyFont="1" applyFill="1" applyBorder="1"/>
    <x:xf numFmtId="0" fontId="36" fillId="34" borderId="38" xfId="0" applyNumberFormat="1" applyFont="1" applyFill="1" applyBorder="1"/>
    <x:xf numFmtId="0" fontId="36" fillId="34" borderId="39" xfId="0" applyNumberFormat="1" applyFont="1" applyFill="1" applyBorder="1"/>
    <x:xf numFmtId="0" fontId="36" fillId="34" borderId="40" xfId="0" applyNumberFormat="1" applyFont="1" applyFill="1" applyBorder="1"/>
    <x:xf numFmtId="0" fontId="36" fillId="34" borderId="38" xfId="0" applyNumberFormat="1" applyFont="1" applyFill="1" applyBorder="1" applyAlignment="1">
      <x:alignment wrapText="1"/>
    </x:xf>
    <x:xf numFmtId="0" fontId="36" fillId="34" borderId="39" xfId="0" applyNumberFormat="1" applyFont="1" applyFill="1" applyBorder="1" applyAlignment="1">
      <x:alignment wrapText="1"/>
    </x:xf>
    <x:xf numFmtId="0" fontId="36" fillId="34" borderId="40" xfId="0" applyNumberFormat="1" applyFont="1" applyFill="1" applyBorder="1" applyAlignment="1">
      <x:alignment wrapText="1"/>
    </x:xf>
    <x:xf numFmtId="0" fontId="36" fillId="34" borderId="38" xfId="0" applyNumberFormat="1" applyFont="1" applyFill="1" applyBorder="1" applyAlignment="1">
      <x:alignment vertical="top" wrapText="1"/>
    </x:xf>
    <x:xf numFmtId="0" fontId="36" fillId="34" borderId="39" xfId="0" applyNumberFormat="1" applyFont="1" applyFill="1" applyBorder="1" applyAlignment="1">
      <x:alignment vertical="top" wrapText="1"/>
    </x:xf>
    <x:xf numFmtId="0" fontId="36" fillId="34" borderId="4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/>
    <x:xf numFmtId="0" fontId="36" fillId="35" borderId="0" xfId="0" applyNumberFormat="1" applyFont="1" applyFill="1" applyBorder="1"/>
    <x:xf numFmtId="0" fontId="36" fillId="35" borderId="38" xfId="0" applyNumberFormat="1" applyFont="1" applyFill="1" applyBorder="1"/>
    <x:xf numFmtId="0" fontId="36" fillId="35" borderId="39" xfId="0" applyNumberFormat="1" applyFont="1" applyFill="1" applyBorder="1"/>
    <x:xf numFmtId="0" fontId="36" fillId="35" borderId="40" xfId="0" applyNumberFormat="1" applyFont="1" applyFill="1" applyBorder="1"/>
    <x:xf numFmtId="0" fontId="36" fillId="35" borderId="38" xfId="0" applyNumberFormat="1" applyFont="1" applyFill="1" applyBorder="1" applyAlignment="1">
      <x:alignment wrapText="1"/>
    </x:xf>
    <x:xf numFmtId="0" fontId="36" fillId="35" borderId="39" xfId="0" applyNumberFormat="1" applyFont="1" applyFill="1" applyBorder="1" applyAlignment="1">
      <x:alignment wrapText="1"/>
    </x:xf>
    <x:xf numFmtId="0" fontId="36" fillId="35" borderId="40" xfId="0" applyNumberFormat="1" applyFont="1" applyFill="1" applyBorder="1" applyAlignment="1">
      <x:alignment wrapText="1"/>
    </x:xf>
    <x:xf numFmtId="0" fontId="36" fillId="35" borderId="38" xfId="0" applyNumberFormat="1" applyFont="1" applyFill="1" applyBorder="1" applyAlignment="1">
      <x:alignment vertical="top" wrapText="1"/>
    </x:xf>
    <x:xf numFmtId="0" fontId="36" fillId="35" borderId="39" xfId="0" applyNumberFormat="1" applyFont="1" applyFill="1" applyBorder="1" applyAlignment="1">
      <x:alignment vertical="top" wrapText="1"/>
    </x:xf>
    <x:xf numFmtId="0" fontId="36" fillId="35" borderId="4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36" fillId="36" borderId="0" xfId="0" applyNumberFormat="1" applyFont="1" applyFill="1" applyBorder="1"/>
    <x:xf numFmtId="0" fontId="36" fillId="36" borderId="38" xfId="0" applyNumberFormat="1" applyFont="1" applyFill="1" applyBorder="1"/>
    <x:xf numFmtId="0" fontId="36" fillId="36" borderId="39" xfId="0" applyNumberFormat="1" applyFont="1" applyFill="1" applyBorder="1"/>
    <x:xf numFmtId="0" fontId="36" fillId="36" borderId="40" xfId="0" applyNumberFormat="1" applyFont="1" applyFill="1" applyBorder="1"/>
    <x:xf numFmtId="0" fontId="36" fillId="36" borderId="38" xfId="0" applyNumberFormat="1" applyFont="1" applyFill="1" applyBorder="1" applyAlignment="1">
      <x:alignment wrapText="1"/>
    </x:xf>
    <x:xf numFmtId="0" fontId="36" fillId="36" borderId="39" xfId="0" applyNumberFormat="1" applyFont="1" applyFill="1" applyBorder="1" applyAlignment="1">
      <x:alignment wrapText="1"/>
    </x:xf>
    <x:xf numFmtId="0" fontId="36" fillId="36" borderId="40" xfId="0" applyNumberFormat="1" applyFont="1" applyFill="1" applyBorder="1" applyAlignment="1">
      <x:alignment wrapText="1"/>
    </x:xf>
    <x:xf numFmtId="0" fontId="36" fillId="36" borderId="38" xfId="0" applyNumberFormat="1" applyFont="1" applyFill="1" applyBorder="1" applyAlignment="1">
      <x:alignment vertical="top" wrapText="1"/>
    </x:xf>
    <x:xf numFmtId="0" fontId="36" fillId="36" borderId="39" xfId="0" applyNumberFormat="1" applyFont="1" applyFill="1" applyBorder="1" applyAlignment="1">
      <x:alignment vertical="top" wrapText="1"/>
    </x:xf>
    <x:xf numFmtId="0" fontId="36" fillId="36" borderId="40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36" fillId="37" borderId="0" xfId="0" applyNumberFormat="1" applyFont="1" applyFill="1" applyBorder="1"/>
    <x:xf numFmtId="0" fontId="36" fillId="37" borderId="38" xfId="0" applyNumberFormat="1" applyFont="1" applyFill="1" applyBorder="1"/>
    <x:xf numFmtId="0" fontId="36" fillId="37" borderId="39" xfId="0" applyNumberFormat="1" applyFont="1" applyFill="1" applyBorder="1"/>
    <x:xf numFmtId="0" fontId="36" fillId="37" borderId="40" xfId="0" applyNumberFormat="1" applyFont="1" applyFill="1" applyBorder="1"/>
    <x:xf numFmtId="0" fontId="36" fillId="37" borderId="38" xfId="0" applyNumberFormat="1" applyFont="1" applyFill="1" applyBorder="1" applyAlignment="1">
      <x:alignment wrapText="1"/>
    </x:xf>
    <x:xf numFmtId="0" fontId="36" fillId="37" borderId="39" xfId="0" applyNumberFormat="1" applyFont="1" applyFill="1" applyBorder="1" applyAlignment="1">
      <x:alignment wrapText="1"/>
    </x:xf>
    <x:xf numFmtId="0" fontId="36" fillId="37" borderId="40" xfId="0" applyNumberFormat="1" applyFont="1" applyFill="1" applyBorder="1" applyAlignment="1">
      <x:alignment wrapText="1"/>
    </x:xf>
    <x:xf numFmtId="0" fontId="36" fillId="37" borderId="38" xfId="0" applyNumberFormat="1" applyFont="1" applyFill="1" applyBorder="1" applyAlignment="1">
      <x:alignment vertical="top" wrapText="1"/>
    </x:xf>
    <x:xf numFmtId="0" fontId="36" fillId="37" borderId="39" xfId="0" applyNumberFormat="1" applyFont="1" applyFill="1" applyBorder="1" applyAlignment="1">
      <x:alignment vertical="top" wrapText="1"/>
    </x:xf>
    <x:xf numFmtId="0" fontId="36" fillId="37" borderId="4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6" fillId="38" borderId="0" xfId="0" applyNumberFormat="1" applyFont="1" applyFill="1" applyBorder="1"/>
    <x:xf numFmtId="0" fontId="36" fillId="38" borderId="38" xfId="0" applyNumberFormat="1" applyFont="1" applyFill="1" applyBorder="1"/>
    <x:xf numFmtId="0" fontId="36" fillId="38" borderId="39" xfId="0" applyNumberFormat="1" applyFont="1" applyFill="1" applyBorder="1"/>
    <x:xf numFmtId="0" fontId="36" fillId="38" borderId="40" xfId="0" applyNumberFormat="1" applyFont="1" applyFill="1" applyBorder="1"/>
    <x:xf numFmtId="0" fontId="36" fillId="38" borderId="38" xfId="0" applyNumberFormat="1" applyFont="1" applyFill="1" applyBorder="1" applyAlignment="1">
      <x:alignment wrapText="1"/>
    </x:xf>
    <x:xf numFmtId="0" fontId="36" fillId="38" borderId="39" xfId="0" applyNumberFormat="1" applyFont="1" applyFill="1" applyBorder="1" applyAlignment="1">
      <x:alignment wrapText="1"/>
    </x:xf>
    <x:xf numFmtId="0" fontId="36" fillId="38" borderId="40" xfId="0" applyNumberFormat="1" applyFont="1" applyFill="1" applyBorder="1" applyAlignment="1">
      <x:alignment wrapText="1"/>
    </x:xf>
    <x:xf numFmtId="0" fontId="36" fillId="38" borderId="38" xfId="0" applyNumberFormat="1" applyFont="1" applyFill="1" applyBorder="1" applyAlignment="1">
      <x:alignment vertical="top" wrapText="1"/>
    </x:xf>
    <x:xf numFmtId="0" fontId="36" fillId="38" borderId="39" xfId="0" applyNumberFormat="1" applyFont="1" applyFill="1" applyBorder="1" applyAlignment="1">
      <x:alignment vertical="top" wrapText="1"/>
    </x:xf>
    <x:xf numFmtId="0" fontId="36" fillId="38" borderId="40" xfId="0" applyNumberFormat="1" applyFont="1" applyFill="1" applyBorder="1" applyAlignment="1">
      <x:alignment vertical="top" wrapText="1"/>
    </x:xf>
    <x:xf numFmtId="0" fontId="0" fillId="39" borderId="0" xfId="0" applyNumberFormat="1" applyFont="1" applyFill="1" applyBorder="1"/>
    <x:xf numFmtId="0" fontId="36" fillId="39" borderId="0" xfId="0" applyNumberFormat="1" applyFont="1" applyFill="1" applyBorder="1"/>
    <x:xf numFmtId="0" fontId="36" fillId="39" borderId="38" xfId="0" applyNumberFormat="1" applyFont="1" applyFill="1" applyBorder="1"/>
    <x:xf numFmtId="0" fontId="36" fillId="39" borderId="39" xfId="0" applyNumberFormat="1" applyFont="1" applyFill="1" applyBorder="1"/>
    <x:xf numFmtId="0" fontId="36" fillId="39" borderId="40" xfId="0" applyNumberFormat="1" applyFont="1" applyFill="1" applyBorder="1"/>
    <x:xf numFmtId="0" fontId="36" fillId="39" borderId="38" xfId="0" applyNumberFormat="1" applyFont="1" applyFill="1" applyBorder="1" applyAlignment="1">
      <x:alignment wrapText="1"/>
    </x:xf>
    <x:xf numFmtId="0" fontId="36" fillId="39" borderId="39" xfId="0" applyNumberFormat="1" applyFont="1" applyFill="1" applyBorder="1" applyAlignment="1">
      <x:alignment wrapText="1"/>
    </x:xf>
    <x:xf numFmtId="0" fontId="36" fillId="39" borderId="40" xfId="0" applyNumberFormat="1" applyFont="1" applyFill="1" applyBorder="1" applyAlignment="1">
      <x:alignment wrapText="1"/>
    </x:xf>
    <x:xf numFmtId="0" fontId="36" fillId="39" borderId="38" xfId="0" applyNumberFormat="1" applyFont="1" applyFill="1" applyBorder="1" applyAlignment="1">
      <x:alignment vertical="top" wrapText="1"/>
    </x:xf>
    <x:xf numFmtId="0" fontId="36" fillId="39" borderId="39" xfId="0" applyNumberFormat="1" applyFont="1" applyFill="1" applyBorder="1" applyAlignment="1">
      <x:alignment vertical="top" wrapText="1"/>
    </x:xf>
    <x:xf numFmtId="0" fontId="36" fillId="39" borderId="40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/>
    <x:xf numFmtId="0" fontId="36" fillId="40" borderId="0" xfId="0" applyNumberFormat="1" applyFont="1" applyFill="1" applyBorder="1"/>
    <x:xf numFmtId="0" fontId="36" fillId="40" borderId="38" xfId="0" applyNumberFormat="1" applyFont="1" applyFill="1" applyBorder="1"/>
    <x:xf numFmtId="0" fontId="36" fillId="40" borderId="39" xfId="0" applyNumberFormat="1" applyFont="1" applyFill="1" applyBorder="1"/>
    <x:xf numFmtId="0" fontId="36" fillId="40" borderId="40" xfId="0" applyNumberFormat="1" applyFont="1" applyFill="1" applyBorder="1"/>
    <x:xf numFmtId="0" fontId="36" fillId="40" borderId="38" xfId="0" applyNumberFormat="1" applyFont="1" applyFill="1" applyBorder="1" applyAlignment="1">
      <x:alignment wrapText="1"/>
    </x:xf>
    <x:xf numFmtId="0" fontId="36" fillId="40" borderId="39" xfId="0" applyNumberFormat="1" applyFont="1" applyFill="1" applyBorder="1" applyAlignment="1">
      <x:alignment wrapText="1"/>
    </x:xf>
    <x:xf numFmtId="0" fontId="36" fillId="40" borderId="40" xfId="0" applyNumberFormat="1" applyFont="1" applyFill="1" applyBorder="1" applyAlignment="1">
      <x:alignment wrapText="1"/>
    </x:xf>
    <x:xf numFmtId="0" fontId="36" fillId="40" borderId="38" xfId="0" applyNumberFormat="1" applyFont="1" applyFill="1" applyBorder="1" applyAlignment="1">
      <x:alignment vertical="top" wrapText="1"/>
    </x:xf>
    <x:xf numFmtId="0" fontId="36" fillId="40" borderId="39" xfId="0" applyNumberFormat="1" applyFont="1" applyFill="1" applyBorder="1" applyAlignment="1">
      <x:alignment vertical="top" wrapText="1"/>
    </x:xf>
    <x:xf numFmtId="0" fontId="36" fillId="40" borderId="40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/>
    <x:xf numFmtId="0" fontId="36" fillId="41" borderId="0" xfId="0" applyNumberFormat="1" applyFont="1" applyFill="1" applyBorder="1"/>
    <x:xf numFmtId="0" fontId="36" fillId="41" borderId="38" xfId="0" applyNumberFormat="1" applyFont="1" applyFill="1" applyBorder="1"/>
    <x:xf numFmtId="0" fontId="36" fillId="41" borderId="39" xfId="0" applyNumberFormat="1" applyFont="1" applyFill="1" applyBorder="1"/>
    <x:xf numFmtId="0" fontId="36" fillId="41" borderId="40" xfId="0" applyNumberFormat="1" applyFont="1" applyFill="1" applyBorder="1"/>
    <x:xf numFmtId="0" fontId="36" fillId="41" borderId="38" xfId="0" applyNumberFormat="1" applyFont="1" applyFill="1" applyBorder="1" applyAlignment="1">
      <x:alignment wrapText="1"/>
    </x:xf>
    <x:xf numFmtId="0" fontId="36" fillId="41" borderId="39" xfId="0" applyNumberFormat="1" applyFont="1" applyFill="1" applyBorder="1" applyAlignment="1">
      <x:alignment wrapText="1"/>
    </x:xf>
    <x:xf numFmtId="0" fontId="36" fillId="41" borderId="40" xfId="0" applyNumberFormat="1" applyFont="1" applyFill="1" applyBorder="1" applyAlignment="1">
      <x:alignment wrapText="1"/>
    </x:xf>
    <x:xf numFmtId="0" fontId="36" fillId="41" borderId="38" xfId="0" applyNumberFormat="1" applyFont="1" applyFill="1" applyBorder="1" applyAlignment="1">
      <x:alignment vertical="top" wrapText="1"/>
    </x:xf>
    <x:xf numFmtId="0" fontId="36" fillId="41" borderId="39" xfId="0" applyNumberFormat="1" applyFont="1" applyFill="1" applyBorder="1" applyAlignment="1">
      <x:alignment vertical="top" wrapText="1"/>
    </x:xf>
    <x:xf numFmtId="0" fontId="36" fillId="41" borderId="40" xfId="0" applyNumberFormat="1" applyFont="1" applyFill="1" applyBorder="1" applyAlignment="1">
      <x:alignment vertical="top" wrapText="1"/>
    </x:xf>
    <x:xf numFmtId="0" fontId="49" fillId="36" borderId="0" xfId="0" applyNumberFormat="1" applyFont="1" applyFill="1" applyBorder="1"/>
    <x:xf numFmtId="0" fontId="49" fillId="36" borderId="38" xfId="0" applyNumberFormat="1" applyFont="1" applyFill="1" applyBorder="1"/>
    <x:xf numFmtId="0" fontId="49" fillId="36" borderId="39" xfId="0" applyNumberFormat="1" applyFont="1" applyFill="1" applyBorder="1"/>
    <x:xf numFmtId="0" fontId="49" fillId="36" borderId="40" xfId="0" applyNumberFormat="1" applyFont="1" applyFill="1" applyBorder="1"/>
    <x:xf numFmtId="0" fontId="49" fillId="36" borderId="38" xfId="0" applyNumberFormat="1" applyFont="1" applyFill="1" applyBorder="1" applyAlignment="1">
      <x:alignment horizontal="center"/>
    </x:xf>
    <x:xf numFmtId="0" fontId="49" fillId="36" borderId="39" xfId="0" applyNumberFormat="1" applyFont="1" applyFill="1" applyBorder="1" applyAlignment="1">
      <x:alignment horizontal="center"/>
    </x:xf>
    <x:xf numFmtId="0" fontId="49" fillId="36" borderId="40" xfId="0" applyNumberFormat="1" applyFont="1" applyFill="1" applyBorder="1" applyAlignment="1">
      <x:alignment horizontal="center"/>
    </x:xf>
    <x:xf numFmtId="0" fontId="49" fillId="36" borderId="38" xfId="0" applyNumberFormat="1" applyFont="1" applyFill="1" applyBorder="1" applyAlignment="1">
      <x:alignment horizontal="center" vertical="center"/>
    </x:xf>
    <x:xf numFmtId="0" fontId="49" fillId="36" borderId="39" xfId="0" applyNumberFormat="1" applyFont="1" applyFill="1" applyBorder="1" applyAlignment="1">
      <x:alignment horizontal="center" vertical="center"/>
    </x:xf>
    <x:xf numFmtId="0" fontId="49" fillId="36" borderId="40" xfId="0" applyNumberFormat="1" applyFont="1" applyFill="1" applyBorder="1" applyAlignment="1">
      <x:alignment horizontal="center" vertical="center"/>
    </x:xf>
    <x:xf numFmtId="0" fontId="35" fillId="35" borderId="0" xfId="0" applyNumberFormat="1" applyFont="1" applyFill="1" applyBorder="1"/>
    <x:xf numFmtId="0" fontId="35" fillId="35" borderId="41" xfId="0" applyNumberFormat="1" applyFont="1" applyFill="1" applyBorder="1"/>
    <x:xf numFmtId="0" fontId="35" fillId="35" borderId="41" xfId="0" applyNumberFormat="1" applyFont="1" applyFill="1" applyBorder="1" applyAlignment="1">
      <x:alignment wrapText="1"/>
    </x:xf>
    <x:xf numFmtId="0" fontId="35" fillId="35" borderId="41" xfId="0" applyNumberFormat="1" applyFont="1" applyFill="1" applyBorder="1" applyAlignment="1">
      <x:alignment horizontal="center" wrapText="1"/>
    </x:xf>
    <x:xf numFmtId="0" fontId="35" fillId="35" borderId="41" xfId="0" applyNumberFormat="1" applyFont="1" applyFill="1" applyBorder="1" applyAlignment="1">
      <x:alignment horizontal="center" vertical="center" wrapText="1"/>
    </x:xf>
    <x:xf numFmtId="0" fontId="35" fillId="36" borderId="0" xfId="0" applyNumberFormat="1" applyFont="1" applyFill="1" applyBorder="1"/>
    <x:xf numFmtId="0" fontId="35" fillId="36" borderId="41" xfId="0" applyNumberFormat="1" applyFont="1" applyFill="1" applyBorder="1"/>
    <x:xf numFmtId="0" fontId="35" fillId="36" borderId="41" xfId="0" applyNumberFormat="1" applyFont="1" applyFill="1" applyBorder="1" applyAlignment="1">
      <x:alignment wrapText="1"/>
    </x:xf>
    <x:xf numFmtId="0" fontId="35" fillId="36" borderId="41" xfId="0" applyNumberFormat="1" applyFont="1" applyFill="1" applyBorder="1" applyAlignment="1">
      <x:alignment horizontal="center" wrapText="1"/>
    </x:xf>
    <x:xf numFmtId="0" fontId="35" fillId="36" borderId="41" xfId="0" applyNumberFormat="1" applyFont="1" applyFill="1" applyBorder="1" applyAlignment="1">
      <x:alignment horizontal="center" vertical="center" wrapText="1"/>
    </x:xf>
    <x:xf numFmtId="0" fontId="35" fillId="37" borderId="0" xfId="0" applyNumberFormat="1" applyFont="1" applyFill="1" applyBorder="1"/>
    <x:xf numFmtId="0" fontId="35" fillId="37" borderId="41" xfId="0" applyNumberFormat="1" applyFont="1" applyFill="1" applyBorder="1"/>
    <x:xf numFmtId="0" fontId="35" fillId="37" borderId="41" xfId="0" applyNumberFormat="1" applyFont="1" applyFill="1" applyBorder="1" applyAlignment="1">
      <x:alignment wrapText="1"/>
    </x:xf>
    <x:xf numFmtId="0" fontId="35" fillId="37" borderId="41" xfId="0" applyNumberFormat="1" applyFont="1" applyFill="1" applyBorder="1" applyAlignment="1">
      <x:alignment horizontal="center" wrapText="1"/>
    </x:xf>
    <x:xf numFmtId="0" fontId="35" fillId="37" borderId="41" xfId="0" applyNumberFormat="1" applyFont="1" applyFill="1" applyBorder="1" applyAlignment="1">
      <x:alignment horizontal="center" vertical="center" wrapText="1"/>
    </x:xf>
    <x:xf numFmtId="0" fontId="35" fillId="38" borderId="0" xfId="0" applyNumberFormat="1" applyFont="1" applyFill="1" applyBorder="1"/>
    <x:xf numFmtId="0" fontId="35" fillId="38" borderId="41" xfId="0" applyNumberFormat="1" applyFont="1" applyFill="1" applyBorder="1"/>
    <x:xf numFmtId="0" fontId="35" fillId="38" borderId="41" xfId="0" applyNumberFormat="1" applyFont="1" applyFill="1" applyBorder="1" applyAlignment="1">
      <x:alignment wrapText="1"/>
    </x:xf>
    <x:xf numFmtId="0" fontId="35" fillId="38" borderId="41" xfId="0" applyNumberFormat="1" applyFont="1" applyFill="1" applyBorder="1" applyAlignment="1">
      <x:alignment horizontal="center" wrapText="1"/>
    </x:xf>
    <x:xf numFmtId="0" fontId="35" fillId="38" borderId="41" xfId="0" applyNumberFormat="1" applyFont="1" applyFill="1" applyBorder="1" applyAlignment="1">
      <x:alignment horizontal="center" vertical="center" wrapText="1"/>
    </x:xf>
    <x:xf numFmtId="0" fontId="35" fillId="39" borderId="0" xfId="0" applyNumberFormat="1" applyFont="1" applyFill="1" applyBorder="1"/>
    <x:xf numFmtId="0" fontId="35" fillId="39" borderId="41" xfId="0" applyNumberFormat="1" applyFont="1" applyFill="1" applyBorder="1"/>
    <x:xf numFmtId="0" fontId="35" fillId="39" borderId="41" xfId="0" applyNumberFormat="1" applyFont="1" applyFill="1" applyBorder="1" applyAlignment="1">
      <x:alignment wrapText="1"/>
    </x:xf>
    <x:xf numFmtId="0" fontId="35" fillId="39" borderId="41" xfId="0" applyNumberFormat="1" applyFont="1" applyFill="1" applyBorder="1" applyAlignment="1">
      <x:alignment horizontal="center" wrapText="1"/>
    </x:xf>
    <x:xf numFmtId="0" fontId="35" fillId="39" borderId="41" xfId="0" applyNumberFormat="1" applyFont="1" applyFill="1" applyBorder="1" applyAlignment="1">
      <x:alignment horizontal="center" vertical="center" wrapText="1"/>
    </x:xf>
    <x:xf numFmtId="0" fontId="49" fillId="35" borderId="0" xfId="0" applyNumberFormat="1" applyFont="1" applyFill="1" applyBorder="1"/>
    <x:xf numFmtId="0" fontId="49" fillId="35" borderId="38" xfId="0" applyNumberFormat="1" applyFont="1" applyFill="1" applyBorder="1"/>
    <x:xf numFmtId="0" fontId="49" fillId="35" borderId="39" xfId="0" applyNumberFormat="1" applyFont="1" applyFill="1" applyBorder="1"/>
    <x:xf numFmtId="0" fontId="49" fillId="35" borderId="40" xfId="0" applyNumberFormat="1" applyFont="1" applyFill="1" applyBorder="1"/>
    <x:xf numFmtId="0" fontId="49" fillId="35" borderId="38" xfId="0" applyNumberFormat="1" applyFont="1" applyFill="1" applyBorder="1" applyAlignment="1">
      <x:alignment horizontal="center"/>
    </x:xf>
    <x:xf numFmtId="0" fontId="49" fillId="35" borderId="39" xfId="0" applyNumberFormat="1" applyFont="1" applyFill="1" applyBorder="1" applyAlignment="1">
      <x:alignment horizontal="center"/>
    </x:xf>
    <x:xf numFmtId="0" fontId="49" fillId="35" borderId="40" xfId="0" applyNumberFormat="1" applyFont="1" applyFill="1" applyBorder="1" applyAlignment="1">
      <x:alignment horizontal="center"/>
    </x:xf>
    <x:xf numFmtId="0" fontId="49" fillId="35" borderId="38" xfId="0" applyNumberFormat="1" applyFont="1" applyFill="1" applyBorder="1" applyAlignment="1">
      <x:alignment horizontal="center" vertical="center"/>
    </x:xf>
    <x:xf numFmtId="0" fontId="49" fillId="35" borderId="39" xfId="0" applyNumberFormat="1" applyFont="1" applyFill="1" applyBorder="1" applyAlignment="1">
      <x:alignment horizontal="center" vertical="center"/>
    </x:xf>
    <x:xf numFmtId="0" fontId="49" fillId="35" borderId="40" xfId="0" applyNumberFormat="1" applyFont="1" applyFill="1" applyBorder="1" applyAlignment="1">
      <x:alignment horizontal="center" vertical="center"/>
    </x:xf>
    <x:xf numFmtId="0" fontId="49" fillId="38" borderId="0" xfId="0" applyNumberFormat="1" applyFont="1" applyFill="1" applyBorder="1"/>
    <x:xf numFmtId="0" fontId="49" fillId="38" borderId="38" xfId="0" applyNumberFormat="1" applyFont="1" applyFill="1" applyBorder="1"/>
    <x:xf numFmtId="0" fontId="49" fillId="38" borderId="39" xfId="0" applyNumberFormat="1" applyFont="1" applyFill="1" applyBorder="1"/>
    <x:xf numFmtId="0" fontId="49" fillId="38" borderId="40" xfId="0" applyNumberFormat="1" applyFont="1" applyFill="1" applyBorder="1"/>
    <x:xf numFmtId="0" fontId="49" fillId="38" borderId="38" xfId="0" applyNumberFormat="1" applyFont="1" applyFill="1" applyBorder="1" applyAlignment="1">
      <x:alignment horizontal="center"/>
    </x:xf>
    <x:xf numFmtId="0" fontId="49" fillId="38" borderId="39" xfId="0" applyNumberFormat="1" applyFont="1" applyFill="1" applyBorder="1" applyAlignment="1">
      <x:alignment horizontal="center"/>
    </x:xf>
    <x:xf numFmtId="0" fontId="49" fillId="38" borderId="40" xfId="0" applyNumberFormat="1" applyFont="1" applyFill="1" applyBorder="1" applyAlignment="1">
      <x:alignment horizontal="center"/>
    </x:xf>
    <x:xf numFmtId="0" fontId="49" fillId="38" borderId="38" xfId="0" applyNumberFormat="1" applyFont="1" applyFill="1" applyBorder="1" applyAlignment="1">
      <x:alignment horizontal="center" vertical="center"/>
    </x:xf>
    <x:xf numFmtId="0" fontId="49" fillId="38" borderId="39" xfId="0" applyNumberFormat="1" applyFont="1" applyFill="1" applyBorder="1" applyAlignment="1">
      <x:alignment horizontal="center" vertical="center"/>
    </x:xf>
    <x:xf numFmtId="0" fontId="49" fillId="38" borderId="40" xfId="0" applyNumberFormat="1" applyFont="1" applyFill="1" applyBorder="1" applyAlignment="1">
      <x:alignment horizontal="center" vertical="center"/>
    </x:xf>
    <x:xf numFmtId="0" fontId="49" fillId="39" borderId="0" xfId="0" applyNumberFormat="1" applyFont="1" applyFill="1" applyBorder="1"/>
    <x:xf numFmtId="0" fontId="49" fillId="39" borderId="38" xfId="0" applyNumberFormat="1" applyFont="1" applyFill="1" applyBorder="1"/>
    <x:xf numFmtId="0" fontId="49" fillId="39" borderId="39" xfId="0" applyNumberFormat="1" applyFont="1" applyFill="1" applyBorder="1"/>
    <x:xf numFmtId="0" fontId="49" fillId="39" borderId="40" xfId="0" applyNumberFormat="1" applyFont="1" applyFill="1" applyBorder="1"/>
    <x:xf numFmtId="0" fontId="49" fillId="39" borderId="38" xfId="0" applyNumberFormat="1" applyFont="1" applyFill="1" applyBorder="1" applyAlignment="1">
      <x:alignment horizontal="center"/>
    </x:xf>
    <x:xf numFmtId="0" fontId="49" fillId="39" borderId="39" xfId="0" applyNumberFormat="1" applyFont="1" applyFill="1" applyBorder="1" applyAlignment="1">
      <x:alignment horizontal="center"/>
    </x:xf>
    <x:xf numFmtId="0" fontId="49" fillId="39" borderId="40" xfId="0" applyNumberFormat="1" applyFont="1" applyFill="1" applyBorder="1" applyAlignment="1">
      <x:alignment horizontal="center"/>
    </x:xf>
    <x:xf numFmtId="0" fontId="49" fillId="39" borderId="38" xfId="0" applyNumberFormat="1" applyFont="1" applyFill="1" applyBorder="1" applyAlignment="1">
      <x:alignment horizontal="center" vertical="center"/>
    </x:xf>
    <x:xf numFmtId="0" fontId="49" fillId="39" borderId="39" xfId="0" applyNumberFormat="1" applyFont="1" applyFill="1" applyBorder="1" applyAlignment="1">
      <x:alignment horizontal="center" vertical="center"/>
    </x:xf>
    <x:xf numFmtId="0" fontId="49" fillId="39" borderId="40" xfId="0" applyNumberFormat="1" applyFont="1" applyFill="1" applyBorder="1" applyAlignment="1">
      <x:alignment horizontal="center" vertical="center"/>
    </x:xf>
    <x:xf numFmtId="0" fontId="49" fillId="40" borderId="0" xfId="0" applyNumberFormat="1" applyFont="1" applyFill="1" applyBorder="1"/>
    <x:xf numFmtId="0" fontId="49" fillId="40" borderId="38" xfId="0" applyNumberFormat="1" applyFont="1" applyFill="1" applyBorder="1"/>
    <x:xf numFmtId="0" fontId="49" fillId="40" borderId="39" xfId="0" applyNumberFormat="1" applyFont="1" applyFill="1" applyBorder="1"/>
    <x:xf numFmtId="0" fontId="49" fillId="40" borderId="40" xfId="0" applyNumberFormat="1" applyFont="1" applyFill="1" applyBorder="1"/>
    <x:xf numFmtId="0" fontId="49" fillId="40" borderId="38" xfId="0" applyNumberFormat="1" applyFont="1" applyFill="1" applyBorder="1" applyAlignment="1">
      <x:alignment horizontal="center"/>
    </x:xf>
    <x:xf numFmtId="0" fontId="49" fillId="40" borderId="39" xfId="0" applyNumberFormat="1" applyFont="1" applyFill="1" applyBorder="1" applyAlignment="1">
      <x:alignment horizontal="center"/>
    </x:xf>
    <x:xf numFmtId="0" fontId="49" fillId="40" borderId="40" xfId="0" applyNumberFormat="1" applyFont="1" applyFill="1" applyBorder="1" applyAlignment="1">
      <x:alignment horizontal="center"/>
    </x:xf>
    <x:xf numFmtId="0" fontId="49" fillId="40" borderId="38" xfId="0" applyNumberFormat="1" applyFont="1" applyFill="1" applyBorder="1" applyAlignment="1">
      <x:alignment horizontal="center" vertical="center"/>
    </x:xf>
    <x:xf numFmtId="0" fontId="49" fillId="40" borderId="39" xfId="0" applyNumberFormat="1" applyFont="1" applyFill="1" applyBorder="1" applyAlignment="1">
      <x:alignment horizontal="center" vertical="center"/>
    </x:xf>
    <x:xf numFmtId="0" fontId="49" fillId="40" borderId="40" xfId="0" applyNumberFormat="1" applyFont="1" applyFill="1" applyBorder="1" applyAlignment="1">
      <x:alignment horizontal="center" vertical="center"/>
    </x:xf>
    <x:xf numFmtId="0" fontId="49" fillId="41" borderId="0" xfId="0" applyNumberFormat="1" applyFont="1" applyFill="1" applyBorder="1"/>
    <x:xf numFmtId="0" fontId="49" fillId="41" borderId="38" xfId="0" applyNumberFormat="1" applyFont="1" applyFill="1" applyBorder="1"/>
    <x:xf numFmtId="0" fontId="49" fillId="41" borderId="39" xfId="0" applyNumberFormat="1" applyFont="1" applyFill="1" applyBorder="1"/>
    <x:xf numFmtId="0" fontId="49" fillId="41" borderId="40" xfId="0" applyNumberFormat="1" applyFont="1" applyFill="1" applyBorder="1"/>
    <x:xf numFmtId="0" fontId="49" fillId="41" borderId="38" xfId="0" applyNumberFormat="1" applyFont="1" applyFill="1" applyBorder="1" applyAlignment="1">
      <x:alignment horizontal="center"/>
    </x:xf>
    <x:xf numFmtId="0" fontId="49" fillId="41" borderId="39" xfId="0" applyNumberFormat="1" applyFont="1" applyFill="1" applyBorder="1" applyAlignment="1">
      <x:alignment horizontal="center"/>
    </x:xf>
    <x:xf numFmtId="0" fontId="49" fillId="41" borderId="40" xfId="0" applyNumberFormat="1" applyFont="1" applyFill="1" applyBorder="1" applyAlignment="1">
      <x:alignment horizontal="center"/>
    </x:xf>
    <x:xf numFmtId="0" fontId="49" fillId="41" borderId="38" xfId="0" applyNumberFormat="1" applyFont="1" applyFill="1" applyBorder="1" applyAlignment="1">
      <x:alignment horizontal="center" vertical="center"/>
    </x:xf>
    <x:xf numFmtId="0" fontId="49" fillId="41" borderId="39" xfId="0" applyNumberFormat="1" applyFont="1" applyFill="1" applyBorder="1" applyAlignment="1">
      <x:alignment horizontal="center" vertical="center"/>
    </x:xf>
    <x:xf numFmtId="0" fontId="49" fillId="41" borderId="40" xfId="0" applyNumberFormat="1" applyFont="1" applyFill="1" applyBorder="1" applyAlignment="1">
      <x:alignment horizontal="center" vertical="center"/>
    </x:xf>
    <x:xf numFmtId="0" fontId="49" fillId="37" borderId="0" xfId="0" applyNumberFormat="1" applyFont="1" applyFill="1" applyBorder="1"/>
    <x:xf numFmtId="0" fontId="49" fillId="37" borderId="38" xfId="0" applyNumberFormat="1" applyFont="1" applyFill="1" applyBorder="1"/>
    <x:xf numFmtId="0" fontId="49" fillId="37" borderId="39" xfId="0" applyNumberFormat="1" applyFont="1" applyFill="1" applyBorder="1"/>
    <x:xf numFmtId="0" fontId="49" fillId="37" borderId="40" xfId="0" applyNumberFormat="1" applyFont="1" applyFill="1" applyBorder="1"/>
    <x:xf numFmtId="0" fontId="49" fillId="37" borderId="38" xfId="0" applyNumberFormat="1" applyFont="1" applyFill="1" applyBorder="1" applyAlignment="1">
      <x:alignment horizontal="center"/>
    </x:xf>
    <x:xf numFmtId="0" fontId="49" fillId="37" borderId="39" xfId="0" applyNumberFormat="1" applyFont="1" applyFill="1" applyBorder="1" applyAlignment="1">
      <x:alignment horizontal="center"/>
    </x:xf>
    <x:xf numFmtId="0" fontId="49" fillId="37" borderId="40" xfId="0" applyNumberFormat="1" applyFont="1" applyFill="1" applyBorder="1" applyAlignment="1">
      <x:alignment horizontal="center"/>
    </x:xf>
    <x:xf numFmtId="0" fontId="49" fillId="37" borderId="38" xfId="0" applyNumberFormat="1" applyFont="1" applyFill="1" applyBorder="1" applyAlignment="1">
      <x:alignment horizontal="center" vertical="center"/>
    </x:xf>
    <x:xf numFmtId="0" fontId="49" fillId="37" borderId="39" xfId="0" applyNumberFormat="1" applyFont="1" applyFill="1" applyBorder="1" applyAlignment="1">
      <x:alignment horizontal="center" vertical="center"/>
    </x:xf>
    <x:xf numFmtId="0" fontId="49" fillId="37" borderId="40" xfId="0" applyNumberFormat="1" applyFont="1" applyFill="1" applyBorder="1" applyAlignment="1">
      <x:alignment horizontal="center" vertical="center"/>
    </x:xf>
    <x:xf numFmtId="0" fontId="50" fillId="38" borderId="0" xfId="0" applyNumberFormat="1" applyFont="1" applyFill="1" applyBorder="1"/>
    <x:xf numFmtId="0" fontId="50" fillId="38" borderId="38" xfId="0" applyNumberFormat="1" applyFont="1" applyFill="1" applyBorder="1"/>
    <x:xf numFmtId="0" fontId="50" fillId="38" borderId="39" xfId="0" applyNumberFormat="1" applyFont="1" applyFill="1" applyBorder="1"/>
    <x:xf numFmtId="0" fontId="50" fillId="38" borderId="40" xfId="0" applyNumberFormat="1" applyFont="1" applyFill="1" applyBorder="1"/>
    <x:xf numFmtId="0" fontId="50" fillId="38" borderId="38" xfId="0" applyNumberFormat="1" applyFont="1" applyFill="1" applyBorder="1" applyAlignment="1">
      <x:alignment horizontal="center"/>
    </x:xf>
    <x:xf numFmtId="0" fontId="50" fillId="38" borderId="39" xfId="0" applyNumberFormat="1" applyFont="1" applyFill="1" applyBorder="1" applyAlignment="1">
      <x:alignment horizontal="center"/>
    </x:xf>
    <x:xf numFmtId="0" fontId="50" fillId="38" borderId="40" xfId="0" applyNumberFormat="1" applyFont="1" applyFill="1" applyBorder="1" applyAlignment="1">
      <x:alignment horizontal="center"/>
    </x:xf>
    <x:xf numFmtId="0" fontId="6" fillId="0" borderId="42" xfId="0" applyNumberFormat="1" applyFont="1" applyFill="1" applyBorder="1"/>
    <x:xf numFmtId="0" fontId="6" fillId="0" borderId="43" xfId="0" applyNumberFormat="1" applyFont="1" applyFill="1" applyBorder="1"/>
    <x:xf numFmtId="0" fontId="6" fillId="0" borderId="44" xfId="0" applyNumberFormat="1" applyFont="1" applyFill="1" applyBorder="1"/>
    <x:xf numFmtId="0" fontId="6" fillId="0" borderId="45" xfId="0" applyNumberFormat="1" applyFont="1" applyFill="1" applyBorder="1"/>
    <x:xf numFmtId="0" fontId="6" fillId="0" xfId="0" applyNumberFormat="1" applyFont="1" applyFill="1" applyBorder="0"/>
    <x:xf numFmtId="0" fontId="6" fillId="0" borderId="46" xfId="0" applyNumberFormat="1" applyFont="1" applyFill="1" applyBorder="1"/>
    <x:xf numFmtId="0" fontId="6" fillId="0" borderId="47" xfId="0" applyNumberFormat="1" applyFont="1" applyFill="1" applyBorder="1"/>
    <x:xf numFmtId="0" fontId="6" fillId="0" borderId="48" xfId="0" applyNumberFormat="1" applyFont="1" applyFill="1" applyBorder="1"/>
    <x:xf numFmtId="0" fontId="6" fillId="0" borderId="49" xfId="0" applyNumberFormat="1" applyFont="1" applyFill="1" applyBorder="1"/>
    <x:xf numFmtId="0" fontId="6" fillId="0" borderId="42" xfId="0" applyNumberFormat="1" applyFont="1" applyFill="1" applyBorder="1" applyAlignment="1">
      <x:alignment wrapText="1"/>
    </x:xf>
    <x:xf numFmtId="0" fontId="6" fillId="0" borderId="43" xfId="0" applyNumberFormat="1" applyFont="1" applyFill="1" applyBorder="1" applyAlignment="1">
      <x:alignment wrapText="1"/>
    </x:xf>
    <x:xf numFmtId="0" fontId="6" fillId="0" borderId="44" xfId="0" applyNumberFormat="1" applyFont="1" applyFill="1" applyBorder="1" applyAlignment="1">
      <x:alignment wrapText="1"/>
    </x:xf>
    <x:xf numFmtId="0" fontId="6" fillId="0" borderId="45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46" xfId="0" applyNumberFormat="1" applyFont="1" applyFill="1" applyBorder="1" applyAlignment="1">
      <x:alignment wrapText="1"/>
    </x:xf>
    <x:xf numFmtId="0" fontId="6" fillId="0" borderId="47" xfId="0" applyNumberFormat="1" applyFont="1" applyFill="1" applyBorder="1" applyAlignment="1">
      <x:alignment wrapText="1"/>
    </x:xf>
    <x:xf numFmtId="0" fontId="6" fillId="0" borderId="48" xfId="0" applyNumberFormat="1" applyFont="1" applyFill="1" applyBorder="1" applyAlignment="1">
      <x:alignment wrapText="1"/>
    </x:xf>
    <x:xf numFmtId="0" fontId="6" fillId="0" borderId="49" xfId="0" applyNumberFormat="1" applyFont="1" applyFill="1" applyBorder="1" applyAlignment="1">
      <x:alignment wrapText="1"/>
    </x:xf>
    <x:xf numFmtId="0" fontId="6" fillId="0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6" fillId="0" borderId="44" xfId="0" applyNumberFormat="1" applyFont="1" applyFill="1" applyBorder="1" applyAlignment="1">
      <x:alignment vertical="center" wrapText="1"/>
    </x:xf>
    <x:xf numFmtId="0" fontId="6" fillId="0" borderId="45" xfId="0" applyNumberFormat="1" applyFont="1" applyFill="1" applyBorder="1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0" borderId="46" xfId="0" applyNumberFormat="1" applyFont="1" applyFill="1" applyBorder="1" applyAlignment="1">
      <x:alignment vertical="center" wrapText="1"/>
    </x:xf>
    <x:xf numFmtId="0" fontId="6" fillId="0" borderId="47" xfId="0" applyNumberFormat="1" applyFont="1" applyFill="1" applyBorder="1" applyAlignment="1">
      <x:alignment vertical="center" wrapText="1"/>
    </x:xf>
    <x:xf numFmtId="0" fontId="6" fillId="0" borderId="48" xfId="0" applyNumberFormat="1" applyFont="1" applyFill="1" applyBorder="1" applyAlignment="1">
      <x:alignment vertical="center" wrapText="1"/>
    </x:xf>
    <x:xf numFmtId="0" fontId="6" fillId="0" borderId="49" xfId="0" applyNumberFormat="1" applyFont="1" applyFill="1" applyBorder="1" applyAlignment="1">
      <x:alignment vertical="center" wrapText="1"/>
    </x:xf>
    <x:xf numFmtId="0" fontId="6" fillId="35" borderId="42" xfId="0" applyNumberFormat="1" applyFont="1" applyFill="1" applyBorder="1" applyAlignment="1">
      <x:alignment vertical="center" wrapText="1"/>
    </x:xf>
    <x:xf numFmtId="0" fontId="6" fillId="35" borderId="43" xfId="0" applyNumberFormat="1" applyFont="1" applyFill="1" applyBorder="1" applyAlignment="1">
      <x:alignment vertical="center" wrapText="1"/>
    </x:xf>
    <x:xf numFmtId="0" fontId="6" fillId="35" borderId="44" xfId="0" applyNumberFormat="1" applyFont="1" applyFill="1" applyBorder="1" applyAlignment="1">
      <x:alignment vertical="center" wrapText="1"/>
    </x:xf>
    <x:xf numFmtId="0" fontId="5" fillId="35" borderId="42" xfId="0" applyNumberFormat="1" applyFont="1" applyFill="1" applyBorder="1" applyAlignment="1">
      <x:alignment vertical="center" wrapText="1"/>
    </x:xf>
    <x:xf numFmtId="0" fontId="5" fillId="35" borderId="43" xfId="0" applyNumberFormat="1" applyFont="1" applyFill="1" applyBorder="1" applyAlignment="1">
      <x:alignment vertical="center" wrapText="1"/>
    </x:xf>
    <x:xf numFmtId="0" fontId="5" fillId="35" borderId="44" xfId="0" applyNumberFormat="1" applyFont="1" applyFill="1" applyBorder="1" applyAlignment="1">
      <x:alignment vertical="center" wrapText="1"/>
    </x:xf>
    <x:xf numFmtId="0" fontId="5" fillId="35" borderId="38" xfId="0" applyNumberFormat="1" applyFont="1" applyFill="1" applyBorder="1" applyAlignment="1">
      <x:alignment vertical="center" wrapText="1"/>
    </x:xf>
    <x:xf numFmtId="0" fontId="5" fillId="35" borderId="39" xfId="0" applyNumberFormat="1" applyFont="1" applyFill="1" applyBorder="1" applyAlignment="1">
      <x:alignment vertical="center" wrapText="1"/>
    </x:xf>
    <x:xf numFmtId="0" fontId="5" fillId="35" borderId="40" xfId="0" applyNumberFormat="1" applyFont="1" applyFill="1" applyBorder="1" applyAlignment="1">
      <x:alignment vertical="center" wrapText="1"/>
    </x:xf>
    <x:xf numFmtId="0" fontId="5" fillId="35" borderId="38" xfId="0" applyNumberFormat="1" applyFont="1" applyFill="1" applyBorder="1" applyAlignment="1">
      <x:alignment horizontal="center" vertical="center" wrapText="1"/>
    </x:xf>
    <x:xf numFmtId="0" fontId="5" fillId="35" borderId="39" xfId="0" applyNumberFormat="1" applyFont="1" applyFill="1" applyBorder="1" applyAlignment="1">
      <x:alignment horizontal="center" vertical="center" wrapText="1"/>
    </x:xf>
    <x:xf numFmtId="0" fontId="5" fillId="35" borderId="40" xfId="0" applyNumberFormat="1" applyFont="1" applyFill="1" applyBorder="1" applyAlignment="1">
      <x:alignment horizontal="center" vertical="center" wrapText="1"/>
    </x:xf>
    <x:xf numFmtId="0" fontId="6" fillId="34" borderId="45" xfId="0" applyNumberFormat="1" applyFont="1" applyFill="1" applyBorder="1" applyAlignment="1">
      <x:alignment vertical="center" wrapText="1"/>
    </x:xf>
    <x:xf numFmtId="0" fontId="6" fillId="34" xfId="0" applyNumberFormat="1" applyFont="1" applyFill="1" applyBorder="0" applyAlignment="1">
      <x:alignment vertical="center" wrapText="1"/>
    </x:xf>
    <x:xf numFmtId="0" fontId="6" fillId="34" borderId="46" xfId="0" applyNumberFormat="1" applyFont="1" applyFill="1" applyBorder="1" applyAlignment="1">
      <x:alignment vertical="center" wrapText="1"/>
    </x:xf>
    <x:xf numFmtId="0" fontId="6" fillId="36" borderId="45" xfId="0" applyNumberFormat="1" applyFont="1" applyFill="1" applyBorder="1" applyAlignment="1">
      <x:alignment vertical="center" wrapText="1"/>
    </x:xf>
    <x:xf numFmtId="0" fontId="6" fillId="36" xfId="0" applyNumberFormat="1" applyFont="1" applyFill="1" applyBorder="0" applyAlignment="1">
      <x:alignment vertical="center" wrapText="1"/>
    </x:xf>
    <x:xf numFmtId="0" fontId="6" fillId="36" borderId="46" xfId="0" applyNumberFormat="1" applyFont="1" applyFill="1" applyBorder="1" applyAlignment="1">
      <x:alignment vertical="center" wrapText="1"/>
    </x:xf>
    <x:xf numFmtId="0" fontId="6" fillId="36" borderId="47" xfId="0" applyNumberFormat="1" applyFont="1" applyFill="1" applyBorder="1" applyAlignment="1">
      <x:alignment vertical="center" wrapText="1"/>
    </x:xf>
    <x:xf numFmtId="0" fontId="6" fillId="36" borderId="48" xfId="0" applyNumberFormat="1" applyFont="1" applyFill="1" applyBorder="1" applyAlignment="1">
      <x:alignment vertical="center" wrapText="1"/>
    </x:xf>
    <x:xf numFmtId="0" fontId="6" fillId="36" borderId="4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2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735F1F"/>
      </x:font>
      <x:fill>
        <x:patternFill>
          <x:bgColor rgb="FFFFF2C7"/>
        </x:patternFill>
      </x:fill>
    </x:dxf>
    <x:dxf>
      <x:font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color rgb="FF356044"/>
      </x:font>
      <x:fill>
        <x:patternFill>
          <x:bgColor rgb="FFDFF3E4"/>
        </x:patternFill>
      </x:fill>
    </x:dxf>
    <x:dxf>
      <x:font>
        <x:color rgb="FF6B7280"/>
      </x:font>
      <x:fill>
        <x:patternFill>
          <x:bgColor rgb="FFF5F6F8"/>
        </x:patternFill>
      </x:fill>
    </x:dxf>
    <x:dxf>
      <x:font>
        <x:b/>
        <x:color rgb="FF315A7A"/>
      </x:font>
      <x:fill>
        <x:patternFill>
          <x:bgColor rgb="FFDDEBFA"/>
        </x:patternFill>
      </x:fill>
    </x:dxf>
    <x:dxf>
      <x:font>
        <x:b/>
        <x:color rgb="FF7A3E42"/>
      </x:font>
      <x:fill>
        <x:patternFill>
          <x:bgColor rgb="FFF8DADB"/>
        </x:patternFill>
      </x:fill>
    </x:dxf>
    <x:dxf>
      <x:font>
        <x:b/>
        <x:color rgb="FF356044"/>
      </x:font>
      <x:fill>
        <x:patternFill>
          <x:bgColor rgb="FFDFF3E4"/>
        </x:patternFill>
      </x:fill>
    </x:dxf>
    <x:dxf>
      <x:font>
        <x:color rgb="FF5A4773"/>
      </x:font>
      <x:fill>
        <x:patternFill>
          <x:bgColor rgb="FFEADFF7"/>
        </x:patternFill>
      </x:fill>
    </x:dxf>
    <x:dxf>
      <x:font>
        <x:b/>
      </x:font>
      <x:fill>
        <x:patternFill patternType="solid">
          <x:bgColor rgb="FFDFF3E4"/>
        </x:patternFill>
      </x:fill>
    </x:dxf>
    <x:dxf>
      <x:font>
        <x:b/>
      </x:font>
      <x:fill>
        <x:patternFill patternType="solid">
          <x:bgColor rgb="FFF8DADB"/>
        </x:patternFill>
      </x:fill>
    </x:dxf>
    <x:dxf>
      <x:font>
        <x:b/>
      </x:font>
      <x:fill>
        <x:patternFill patternType="solid">
          <x:bgColor rgb="FFDDEBFA"/>
        </x:patternFill>
      </x:fill>
    </x:dxf>
    <x:dxf>
      <x:font>
        <x:b/>
      </x:font>
      <x:fill>
        <x:patternFill patternType="solid">
          <x:bgColor rgb="FFEADF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68d11173c48bd" /><Relationship Type="http://schemas.openxmlformats.org/officeDocument/2006/relationships/theme" Target="/xl/theme/theme1.xml" Id="Rbbd8247f256746d1" /><Relationship Type="http://schemas.openxmlformats.org/officeDocument/2006/relationships/sharedStrings" Target="/xl/sharedStrings.xml" Id="Reecd0de99db142b3" /><Relationship Type="http://schemas.openxmlformats.org/officeDocument/2006/relationships/worksheet" Target="/xl/worksheets/sheet1.xml" Id="R8e5bc76bb08b4d63" /><Relationship Type="http://schemas.openxmlformats.org/officeDocument/2006/relationships/worksheet" Target="/xl/worksheets/sheet2.xml" Id="R697cc2e08d034618" /><Relationship Type="http://schemas.openxmlformats.org/officeDocument/2006/relationships/worksheet" Target="/xl/worksheets/sheet3.xml" Id="Rc31f1ce9b03d44a4" /><Relationship Type="http://schemas.openxmlformats.org/officeDocument/2006/relationships/worksheet" Target="/xl/worksheets/sheet4.xml" Id="R1fec2ebf3d954c75" /><Relationship Type="http://schemas.openxmlformats.org/officeDocument/2006/relationships/worksheet" Target="/xl/worksheets/sheet5.xml" Id="Rf636e118e41449a1" /><Relationship Type="http://schemas.openxmlformats.org/officeDocument/2006/relationships/worksheet" Target="/xl/worksheets/sheet6.xml" Id="R49fcc04f98f04ca9" /><Relationship Type="http://schemas.openxmlformats.org/officeDocument/2006/relationships/worksheet" Target="/xl/worksheets/sheet7.xml" Id="R496e7cf8bd9d4a51" /><Relationship Type="http://schemas.openxmlformats.org/officeDocument/2006/relationships/worksheet" Target="/xl/worksheets/sheet8.xml" Id="R98c5fe457f82409b" /><Relationship Type="http://schemas.openxmlformats.org/officeDocument/2006/relationships/worksheet" Target="/xl/worksheets/sheet9.xml" Id="R32dae59e6ac044a8" /><Relationship Type="http://schemas.openxmlformats.org/officeDocument/2006/relationships/worksheet" Target="/xl/worksheets/sheet10.xml" Id="R686ea582db9e4fde" /><Relationship Type="http://schemas.openxmlformats.org/officeDocument/2006/relationships/worksheet" Target="/xl/worksheets/sheet11.xml" Id="Rf5f8b9163e3c4254" /><Relationship Type="http://schemas.openxmlformats.org/officeDocument/2006/relationships/worksheet" Target="/xl/worksheets/sheet12.xml" Id="R36c9c71c2cf34baa" /><Relationship Type="http://schemas.openxmlformats.org/officeDocument/2006/relationships/worksheet" Target="/xl/worksheets/sheet13.xml" Id="R8e7675d632c44788" /><Relationship Type="http://schemas.openxmlformats.org/officeDocument/2006/relationships/worksheet" Target="/xl/worksheets/sheet14.xml" Id="R5cc65a0880484650" /><Relationship Type="http://schemas.openxmlformats.org/officeDocument/2006/relationships/worksheet" Target="/xl/worksheets/sheet15.xml" Id="R640fd86aef994793" /><Relationship Type="http://schemas.openxmlformats.org/officeDocument/2006/relationships/worksheet" Target="/xl/worksheets/sheet16.xml" Id="R4d182e3f702c423a" /><Relationship Type="http://schemas.openxmlformats.org/officeDocument/2006/relationships/worksheet" Target="/xl/worksheets/sheet17.xml" Id="R8dd1d8794faa4b72" /><Relationship Type="http://schemas.openxmlformats.org/officeDocument/2006/relationships/worksheet" Target="/xl/worksheets/sheet18.xml" Id="R7ce3aa2753114c7a" /><Relationship Type="http://schemas.openxmlformats.org/officeDocument/2006/relationships/worksheet" Target="/xl/worksheets/sheet19.xml" Id="R39a45564b8104ae3" /><Relationship Type="http://schemas.openxmlformats.org/officeDocument/2006/relationships/worksheet" Target="/xl/worksheets/sheet20.xml" Id="R37af8d63774b4909" /><Relationship Type="http://schemas.openxmlformats.org/officeDocument/2006/relationships/worksheet" Target="/xl/worksheets/sheet21.xml" Id="R9ae902f60a624e19" /><Relationship Type="http://schemas.openxmlformats.org/officeDocument/2006/relationships/worksheet" Target="/xl/worksheets/sheet22.xml" Id="R2548cfecf9bf477a" /><Relationship Type="http://schemas.openxmlformats.org/officeDocument/2006/relationships/worksheet" Target="/xl/worksheets/sheet23.xml" Id="Ra19c15a31ced45a7" /></Relationships>
</file>

<file path=xl/tables/table1.xml><?xml version="1.0" encoding="utf-8"?>
<x:table xmlns:x="http://schemas.openxmlformats.org/spreadsheetml/2006/main" id="1" name="ArchitectureFunctionList" displayName="ArchitectureFunctionList" ref="A3:R102" headerRowCount="1">
  <x:tableColumns count="18">
    <x:tableColumn id="1" name="层级"/>
    <x:tableColumn id="2" name="域名称"/>
    <x:tableColumn id="3" name="子域"/>
    <x:tableColumn id="4" name="节点名称"/>
    <x:tableColumn id="5" name="功能描述"/>
    <x:tableColumn id="6" name="类型"/>
    <x:tableColumn id="7" name="关键输入"/>
    <x:tableColumn id="8" name="关键输出"/>
    <x:tableColumn id="9" name="主要依赖"/>
    <x:tableColumn id="10" name="关键约束"/>
    <x:tableColumn id="11" name="来源"/>
    <x:tableColumn id="12" name="V1范围"/>
    <x:tableColumn id="13" name="优先级"/>
    <x:tableColumn id="14" name="阻塞V1"/>
    <x:tableColumn id="15" name="验收标准"/>
    <x:tableColumn id="16" name="状态"/>
    <x:tableColumn id="17" name="负责人"/>
    <x:tableColumn id="1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oreIdFieldDictionary" displayName="CoreIdFieldDictionary" ref="A4:P123" headerRowCount="1">
  <x:tableColumns count="16">
    <x:tableColumn id="1" name="层级"/>
    <x:tableColumn id="2" name="域名称"/>
    <x:tableColumn id="3" name="实体/对象"/>
    <x:tableColumn id="4" name="字段/ID"/>
    <x:tableColumn id="5" name="字段含义"/>
    <x:tableColumn id="6" name="数据类型"/>
    <x:tableColumn id="7" name="是否必填"/>
    <x:tableColumn id="8" name="创建时机"/>
    <x:tableColumn id="9" name="生成/维护方"/>
    <x:tableColumn id="10" name="来源字段"/>
    <x:tableColumn id="11" name="关联对象"/>
    <x:tableColumn id="12" name="唯一性/索引"/>
    <x:tableColumn id="13" name="事实源"/>
    <x:tableColumn id="14" name="生命周期/状态"/>
    <x:tableColumn id="15" name="示例"/>
    <x:tableColumn id="16" name="关键约束"/>
  </x:tableColumns>
  <x:tableStyleInfo name="TableStyleMedium2" showRowStripes="1"/>
</x:table>
</file>

<file path=xl/tables/table3.xml><?xml version="1.0" encoding="utf-8"?>
<x:table xmlns:x="http://schemas.openxmlformats.org/spreadsheetml/2006/main" id="3" name="EntityRelationshipMatrix" displayName="EntityRelationshipMatrix" ref="A3:I35" headerRowCount="1">
  <x:tableColumns count="9">
    <x:tableColumn id="1" name="关系编号"/>
    <x:tableColumn id="2" name="上游实体"/>
    <x:tableColumn id="3" name="关系"/>
    <x:tableColumn id="4" name="下游实体"/>
    <x:tableColumn id="5" name="基数"/>
    <x:tableColumn id="6" name="关联字段"/>
    <x:tableColumn id="7" name="创建阶段"/>
    <x:tableColumn id="8" name="删除/失效策略"/>
    <x:tableColumn id="9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StatusEnumDefinitions" displayName="StatusEnumDefinitions" ref="A3:J39" headerRowCount="1">
  <x:tableColumns count="10">
    <x:tableColumn id="1" name="所属域"/>
    <x:tableColumn id="2" name="对象"/>
    <x:tableColumn id="3" name="状态字段"/>
    <x:tableColumn id="4" name="状态值"/>
    <x:tableColumn id="5" name="中文含义"/>
    <x:tableColumn id="6" name="允许进入方式"/>
    <x:tableColumn id="7" name="允许下一状态"/>
    <x:tableColumn id="8" name="是否终态"/>
    <x:tableColumn id="9" name="失败/阻塞处理"/>
    <x:tableColumn id="10" name="关键约束"/>
  </x:tableColumns>
  <x:tableStyleInfo name="TableStyleMedium2" showRowStripes="1"/>
</x:table>
</file>

<file path=xl/tables/table5.xml><?xml version="1.0" encoding="utf-8"?>
<x:table xmlns:x="http://schemas.openxmlformats.org/spreadsheetml/2006/main" id="5" name="DomainDataEntityDetails" displayName="DomainDataEntityDetails" ref="A3:J39" headerRowCount="1">
  <x:tableColumns count="10">
    <x:tableColumn id="1" name="层级"/>
    <x:tableColumn id="2" name="域名称"/>
    <x:tableColumn id="3" name="核心实体"/>
    <x:tableColumn id="4" name="建议表/集合"/>
    <x:tableColumn id="5" name="主键"/>
    <x:tableColumn id="6" name="关键外键"/>
    <x:tableColumn id="7" name="核心业务字段"/>
    <x:tableColumn id="8" name="必须索引"/>
    <x:tableColumn id="9" name="V1是否建表"/>
    <x:tableColumn id="10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3a713d49e748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7a0237ce3fc54d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.xml" Id="R48932e937cd74b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6649269b1b2d476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.xml" Id="R5d415a417ecd441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4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1" hidden="0" customWidth="1"/>
    <x:col min="10" max="10" width="32" hidden="0" customWidth="1"/>
  </x:cols>
  <x:sheetData>
    <x:row r="1" ht="36" customHeight="1">
      <x:c r="A1" s="204" t="str">
        <x:v>ATP V2 架构分层功能清单（完善版）</x:v>
      </x:c>
      <x:c r="B1" s="205"/>
      <x:c r="C1" s="205"/>
      <x:c r="D1" s="205"/>
      <x:c r="E1" s="205"/>
      <x:c r="F1" s="205"/>
      <x:c r="G1" s="205"/>
      <x:c r="H1" s="205"/>
      <x:c r="I1" s="205"/>
      <x:c r="J1" s="206"/>
      <x:c r="K1" s="177"/>
      <x:c r="L1" s="177"/>
      <x:c r="M1" s="177"/>
      <x:c r="N1" s="177"/>
    </x:row>
    <x:row r="2" ht="36" customHeight="1">
      <x:c r="A2" s="212" t="str">
        <x:v>原则：所有输入先形成自然语言测试资产；入库仅处理 ID、来源、幂等与去重；自然语言转机器语言及所有执行拦截只发生在 Asset-to-Case 转换域。</x:v>
      </x:c>
      <x:c r="B2" s="213"/>
      <x:c r="C2" s="213"/>
      <x:c r="D2" s="213"/>
      <x:c r="E2" s="213"/>
      <x:c r="F2" s="213"/>
      <x:c r="G2" s="213"/>
      <x:c r="H2" s="213"/>
      <x:c r="I2" s="213"/>
      <x:c r="J2" s="214"/>
      <x:c r="K2" s="177"/>
      <x:c r="L2" s="177"/>
      <x:c r="M2" s="177"/>
      <x:c r="N2" s="177"/>
    </x:row>
    <x:row r="3">
      <x:c r="A3" s="177"/>
      <x:c r="B3" s="177"/>
      <x:c r="C3" s="177"/>
      <x:c r="D3" s="177"/>
      <x:c r="E3" s="177"/>
      <x:c r="F3" s="177"/>
      <x:c r="G3" s="177"/>
      <x:c r="H3" s="177"/>
      <x:c r="I3" s="177"/>
      <x:c r="J3" s="177"/>
      <x:c r="K3" s="177"/>
      <x:c r="L3" s="177"/>
      <x:c r="M3" s="177"/>
      <x:c r="N3" s="177"/>
    </x:row>
    <x:row r="4">
      <x:c r="A4" s="217" t="str">
        <x:v>层级</x:v>
      </x:c>
      <x:c r="B4" s="218" t="str">
        <x:v>域名称</x:v>
      </x:c>
      <x:c r="C4" s="221" t="str">
        <x:v>节点数</x:v>
      </x:c>
      <x:c r="D4" s="222" t="str">
        <x:v>原图已有</x:v>
      </x:c>
      <x:c r="E4" s="223" t="str">
        <x:v>新增补充</x:v>
      </x:c>
      <x:c r="F4" s="226" t="str">
        <x:v>V1范围</x:v>
      </x:c>
      <x:c r="G4" s="227" t="str">
        <x:v>P0</x:v>
      </x:c>
      <x:c r="H4" s="228" t="str">
        <x:v>阻塞V1</x:v>
      </x:c>
      <x:c r="I4" s="232" t="str">
        <x:v>完成率</x:v>
      </x:c>
      <x:c r="J4" s="233" t="str">
        <x:v>说明</x:v>
      </x:c>
      <x:c r="K4" s="177"/>
      <x:c r="L4" s="177"/>
      <x:c r="M4" s="177"/>
      <x:c r="N4" s="177"/>
    </x:row>
    <x:row r="5" ht="30" customHeight="1">
      <x:c r="A5" s="255" t="n">
        <x:v>1</x:v>
      </x:c>
      <x:c r="B5" s="256" t="str">
        <x:v>多元输入与自然语言生成域</x:v>
      </x:c>
      <x:c r="C5" s="248" t="n">
        <x:f>COUNTIF('01_完整清单'!$A:$A,A5)</x:f>
        <x:v>12</x:v>
      </x:c>
      <x:c r="D5" s="248" t="n">
        <x:f>COUNTIFS('01_完整清单'!$A:$A,A5,'01_完整清单'!$K:$K,"原图")</x:f>
        <x:v>5</x:v>
      </x:c>
      <x:c r="E5" s="248" t="n">
        <x:f>COUNTIFS('01_完整清单'!$A:$A,A5,'01_完整清单'!$K:$K,"补充")</x:f>
        <x:v>7</x:v>
      </x:c>
      <x:c r="F5" s="248" t="n">
        <x:f>COUNTIFS('01_完整清单'!$A:$A,A5,'01_完整清单'!$L:$L,"是")</x:f>
        <x:v>11</x:v>
      </x:c>
      <x:c r="G5" s="248" t="n">
        <x:f>COUNTIFS('01_完整清单'!$A:$A,A5,'01_完整清单'!$M:$M,"P0")</x:f>
        <x:v>8</x:v>
      </x:c>
      <x:c r="H5" s="248" t="n">
        <x:f>COUNTIFS('01_完整清单'!$A:$A,A5,'01_完整清单'!$N:$N,"是")</x:f>
        <x:v>8</x:v>
      </x:c>
      <x:c r="I5" s="249" t="n">
        <x:f>IF(C5=0,0,COUNTIFS('01_完整清单'!$A:$A,A5,'01_完整清单'!$P:$P,"已完成")/C5)</x:f>
        <x:v>0</x:v>
      </x:c>
      <x:c r="J5" s="250" t="str">
        <x:v>多元输入、上下文和自然语言生成</x:v>
      </x:c>
      <x:c r="K5" s="177"/>
      <x:c r="L5" s="177"/>
      <x:c r="M5" s="177"/>
      <x:c r="N5" s="177"/>
    </x:row>
    <x:row r="6" ht="30" customHeight="1">
      <x:c r="A6" s="277" t="n">
        <x:v>2</x:v>
      </x:c>
      <x:c r="B6" s="278" t="str">
        <x:v>自然语言测试资产域</x:v>
      </x:c>
      <x:c r="C6" s="270" t="n">
        <x:f>COUNTIF('01_完整清单'!$A:$A,A6)</x:f>
        <x:v>15</x:v>
      </x:c>
      <x:c r="D6" s="270" t="n">
        <x:f>COUNTIFS('01_完整清单'!$A:$A,A6,'01_完整清单'!$K:$K,"原图")</x:f>
        <x:v>7</x:v>
      </x:c>
      <x:c r="E6" s="270" t="n">
        <x:f>COUNTIFS('01_完整清单'!$A:$A,A6,'01_完整清单'!$K:$K,"补充")</x:f>
        <x:v>8</x:v>
      </x:c>
      <x:c r="F6" s="270" t="n">
        <x:f>COUNTIFS('01_完整清单'!$A:$A,A6,'01_完整清单'!$L:$L,"是")</x:f>
        <x:v>11</x:v>
      </x:c>
      <x:c r="G6" s="270" t="n">
        <x:f>COUNTIFS('01_完整清单'!$A:$A,A6,'01_完整清单'!$M:$M,"P0")</x:f>
        <x:v>10</x:v>
      </x:c>
      <x:c r="H6" s="270" t="n">
        <x:f>COUNTIFS('01_完整清单'!$A:$A,A6,'01_完整清单'!$N:$N,"是")</x:f>
        <x:v>10</x:v>
      </x:c>
      <x:c r="I6" s="271" t="n">
        <x:f>IF(C6=0,0,COUNTIFS('01_完整清单'!$A:$A,A6,'01_完整清单'!$P:$P,"已完成")/C6)</x:f>
        <x:v>0</x:v>
      </x:c>
      <x:c r="J6" s="272" t="str">
        <x:v>无条件入库、去重、编辑、审核和版本</x:v>
      </x:c>
      <x:c r="K6" s="177"/>
      <x:c r="L6" s="177"/>
      <x:c r="M6" s="177"/>
      <x:c r="N6" s="177"/>
    </x:row>
    <x:row r="7" ht="30" customHeight="1">
      <x:c r="A7" s="299" t="n">
        <x:v>3</x:v>
      </x:c>
      <x:c r="B7" s="300" t="str">
        <x:v>Asset-to-Case 转换与统一拦截域</x:v>
      </x:c>
      <x:c r="C7" s="292" t="n">
        <x:f>COUNTIF('01_完整清单'!$A:$A,A7)</x:f>
        <x:v>15</x:v>
      </x:c>
      <x:c r="D7" s="292" t="n">
        <x:f>COUNTIFS('01_完整清单'!$A:$A,A7,'01_完整清单'!$K:$K,"原图")</x:f>
        <x:v>11</x:v>
      </x:c>
      <x:c r="E7" s="292" t="n">
        <x:f>COUNTIFS('01_完整清单'!$A:$A,A7,'01_完整清单'!$K:$K,"补充")</x:f>
        <x:v>4</x:v>
      </x:c>
      <x:c r="F7" s="292" t="n">
        <x:f>COUNTIFS('01_完整清单'!$A:$A,A7,'01_完整清单'!$L:$L,"是")</x:f>
        <x:v>13</x:v>
      </x:c>
      <x:c r="G7" s="292" t="n">
        <x:f>COUNTIFS('01_完整清单'!$A:$A,A7,'01_完整清单'!$M:$M,"P0")</x:f>
        <x:v>12</x:v>
      </x:c>
      <x:c r="H7" s="292" t="n">
        <x:f>COUNTIFS('01_完整清单'!$A:$A,A7,'01_完整清单'!$N:$N,"是")</x:f>
        <x:v>12</x:v>
      </x:c>
      <x:c r="I7" s="293" t="n">
        <x:f>IF(C7=0,0,COUNTIFS('01_完整清单'!$A:$A,A7,'01_完整清单'!$P:$P,"已完成")/C7)</x:f>
        <x:v>0</x:v>
      </x:c>
      <x:c r="J7" s="294" t="str">
        <x:v>唯一自然语言转机器语言和统一拦截</x:v>
      </x:c>
      <x:c r="K7" s="177"/>
      <x:c r="L7" s="177"/>
      <x:c r="M7" s="177"/>
      <x:c r="N7" s="177"/>
    </x:row>
    <x:row r="8" ht="30" customHeight="1">
      <x:c r="A8" s="321" t="n">
        <x:v>4</x:v>
      </x:c>
      <x:c r="B8" s="322" t="str">
        <x:v>公共资源与能力域</x:v>
      </x:c>
      <x:c r="C8" s="314" t="n">
        <x:f>COUNTIF('01_完整清单'!$A:$A,A8)</x:f>
        <x:v>16</x:v>
      </x:c>
      <x:c r="D8" s="314" t="n">
        <x:f>COUNTIFS('01_完整清单'!$A:$A,A8,'01_完整清单'!$K:$K,"原图")</x:f>
        <x:v>11</x:v>
      </x:c>
      <x:c r="E8" s="314" t="n">
        <x:f>COUNTIFS('01_完整清单'!$A:$A,A8,'01_完整清单'!$K:$K,"补充")</x:f>
        <x:v>5</x:v>
      </x:c>
      <x:c r="F8" s="314" t="n">
        <x:f>COUNTIFS('01_完整清单'!$A:$A,A8,'01_完整清单'!$L:$L,"是")</x:f>
        <x:v>10</x:v>
      </x:c>
      <x:c r="G8" s="314" t="n">
        <x:f>COUNTIFS('01_完整清单'!$A:$A,A8,'01_完整清单'!$M:$M,"P0")</x:f>
        <x:v>6</x:v>
      </x:c>
      <x:c r="H8" s="314" t="n">
        <x:f>COUNTIFS('01_完整清单'!$A:$A,A8,'01_完整清单'!$N:$N,"是")</x:f>
        <x:v>6</x:v>
      </x:c>
      <x:c r="I8" s="315" t="n">
        <x:f>IF(C8=0,0,COUNTIFS('01_完整清单'!$A:$A,A8,'01_完整清单'!$P:$P,"已完成")/C8)</x:f>
        <x:v>0</x:v>
      </x:c>
      <x:c r="J8" s="316" t="str">
        <x:v>版本化公共资源和治理能力</x:v>
      </x:c>
      <x:c r="K8" s="177"/>
      <x:c r="L8" s="177"/>
      <x:c r="M8" s="177"/>
      <x:c r="N8" s="177"/>
    </x:row>
    <x:row r="9" ht="30" customHeight="1">
      <x:c r="A9" s="343" t="n">
        <x:v>5</x:v>
      </x:c>
      <x:c r="B9" s="344" t="str">
        <x:v>测试用例、执行、证据与反馈域</x:v>
      </x:c>
      <x:c r="C9" s="336" t="n">
        <x:f>COUNTIF('01_完整清单'!$A:$A,A9)</x:f>
        <x:v>15</x:v>
      </x:c>
      <x:c r="D9" s="336" t="n">
        <x:f>COUNTIFS('01_完整清单'!$A:$A,A9,'01_完整清单'!$K:$K,"原图")</x:f>
        <x:v>11</x:v>
      </x:c>
      <x:c r="E9" s="336" t="n">
        <x:f>COUNTIFS('01_完整清单'!$A:$A,A9,'01_完整清单'!$K:$K,"补充")</x:f>
        <x:v>4</x:v>
      </x:c>
      <x:c r="F9" s="336" t="n">
        <x:f>COUNTIFS('01_完整清单'!$A:$A,A9,'01_完整清单'!$L:$L,"是")</x:f>
        <x:v>12</x:v>
      </x:c>
      <x:c r="G9" s="336" t="n">
        <x:f>COUNTIFS('01_完整清单'!$A:$A,A9,'01_完整清单'!$M:$M,"P0")</x:f>
        <x:v>11</x:v>
      </x:c>
      <x:c r="H9" s="336" t="n">
        <x:f>COUNTIFS('01_完整清单'!$A:$A,A9,'01_完整清单'!$N:$N,"是")</x:f>
        <x:v>11</x:v>
      </x:c>
      <x:c r="I9" s="337" t="n">
        <x:f>IF(C9=0,0,COUNTIFS('01_完整清单'!$A:$A,A9,'01_完整清单'!$P:$P,"已完成")/C9)</x:f>
        <x:v>0</x:v>
      </x:c>
      <x:c r="J9" s="338" t="str">
        <x:v>可执行用例、调度、执行、证据和反馈</x:v>
      </x:c>
      <x:c r="K9" s="177"/>
      <x:c r="L9" s="177"/>
      <x:c r="M9" s="177"/>
      <x:c r="N9" s="177"/>
    </x:row>
    <x:row r="10" ht="30" customHeight="1">
      <x:c r="A10" s="365" t="n">
        <x:v>6</x:v>
      </x:c>
      <x:c r="B10" s="366" t="str">
        <x:v>平台控制面</x:v>
      </x:c>
      <x:c r="C10" s="358" t="n">
        <x:f>COUNTIF('01_完整清单'!$A:$A,A10)</x:f>
        <x:v>12</x:v>
      </x:c>
      <x:c r="D10" s="358" t="n">
        <x:f>COUNTIFS('01_完整清单'!$A:$A,A10,'01_完整清单'!$K:$K,"原图")</x:f>
        <x:v>8</x:v>
      </x:c>
      <x:c r="E10" s="358" t="n">
        <x:f>COUNTIFS('01_完整清单'!$A:$A,A10,'01_完整清单'!$K:$K,"补充")</x:f>
        <x:v>4</x:v>
      </x:c>
      <x:c r="F10" s="358" t="n">
        <x:f>COUNTIFS('01_完整清单'!$A:$A,A10,'01_完整清单'!$L:$L,"是")</x:f>
        <x:v>9</x:v>
      </x:c>
      <x:c r="G10" s="358" t="n">
        <x:f>COUNTIFS('01_完整清单'!$A:$A,A10,'01_完整清单'!$M:$M,"P0")</x:f>
        <x:v>7</x:v>
      </x:c>
      <x:c r="H10" s="358" t="n">
        <x:f>COUNTIFS('01_完整清单'!$A:$A,A10,'01_完整清单'!$N:$N,"是")</x:f>
        <x:v>7</x:v>
      </x:c>
      <x:c r="I10" s="359" t="n">
        <x:f>IF(C10=0,0,COUNTIFS('01_完整清单'!$A:$A,A10,'01_完整清单'!$P:$P,"已完成")/C10)</x:f>
        <x:v>0</x:v>
      </x:c>
      <x:c r="J10" s="360" t="str">
        <x:v>项目、ID、版本、审计、认证和灰度</x:v>
      </x:c>
      <x:c r="K10" s="177"/>
      <x:c r="L10" s="177"/>
      <x:c r="M10" s="177"/>
      <x:c r="N10" s="177"/>
    </x:row>
    <x:row r="11" ht="30" customHeight="1">
      <x:c r="A11" s="387" t="n">
        <x:v>7</x:v>
      </x:c>
      <x:c r="B11" s="388" t="str">
        <x:v>技术基础设施域</x:v>
      </x:c>
      <x:c r="C11" s="380" t="n">
        <x:f>COUNTIF('01_完整清单'!$A:$A,A11)</x:f>
        <x:v>14</x:v>
      </x:c>
      <x:c r="D11" s="380" t="n">
        <x:f>COUNTIFS('01_完整清单'!$A:$A,A11,'01_完整清单'!$K:$K,"原图")</x:f>
        <x:v>8</x:v>
      </x:c>
      <x:c r="E11" s="380" t="n">
        <x:f>COUNTIFS('01_完整清单'!$A:$A,A11,'01_完整清单'!$K:$K,"补充")</x:f>
        <x:v>6</x:v>
      </x:c>
      <x:c r="F11" s="380" t="n">
        <x:f>COUNTIFS('01_完整清单'!$A:$A,A11,'01_完整清单'!$L:$L,"是")</x:f>
        <x:v>8</x:v>
      </x:c>
      <x:c r="G11" s="380" t="n">
        <x:f>COUNTIFS('01_完整清单'!$A:$A,A11,'01_完整清单'!$M:$M,"P0")</x:f>
        <x:v>7</x:v>
      </x:c>
      <x:c r="H11" s="380" t="n">
        <x:f>COUNTIFS('01_完整清单'!$A:$A,A11,'01_完整清单'!$N:$N,"是")</x:f>
        <x:v>7</x:v>
      </x:c>
      <x:c r="I11" s="381" t="n">
        <x:f>IF(C11=0,0,COUNTIFS('01_完整清单'!$A:$A,A11,'01_完整清单'!$P:$P,"已完成")/C11)</x:f>
        <x:v>0</x:v>
      </x:c>
      <x:c r="J11" s="382" t="str">
        <x:v>容器、存储、消息、CI/CD和可观测性</x:v>
      </x:c>
      <x:c r="K11" s="177"/>
      <x:c r="L11" s="177"/>
      <x:c r="M11" s="177"/>
      <x:c r="N11" s="177"/>
    </x:row>
    <x:row r="12">
      <x:c r="A12" s="177"/>
      <x:c r="B12" s="177"/>
      <x:c r="C12" s="177"/>
      <x:c r="D12" s="177"/>
      <x:c r="E12" s="177"/>
      <x:c r="F12" s="177"/>
      <x:c r="G12" s="177"/>
      <x:c r="H12" s="177"/>
      <x:c r="I12" s="177"/>
      <x:c r="J12" s="177"/>
      <x:c r="K12" s="177"/>
      <x:c r="L12" s="177"/>
      <x:c r="M12" s="177"/>
      <x:c r="N12" s="177"/>
    </x:row>
    <x:row r="13">
      <x:c r="A13" s="177"/>
      <x:c r="B13" s="177"/>
      <x:c r="C13" s="177"/>
      <x:c r="D13" s="177"/>
      <x:c r="E13" s="177"/>
      <x:c r="F13" s="177"/>
      <x:c r="G13" s="177"/>
      <x:c r="H13" s="177"/>
      <x:c r="I13" s="177"/>
      <x:c r="J13" s="177"/>
      <x:c r="K13" s="177"/>
      <x:c r="L13" s="177"/>
      <x:c r="M13" s="177"/>
      <x:c r="N13" s="177"/>
    </x:row>
    <x:row r="14" ht="28" customHeight="1">
      <x:c r="A14" s="398" t="str">
        <x:v>架构硬约束</x:v>
      </x:c>
      <x:c r="B14" s="399" t="str">
        <x:v>要求</x:v>
      </x:c>
      <x:c r="C14" s="399" t="str">
        <x:v>违反后果</x:v>
      </x:c>
      <x:c r="D14" s="399" t="str">
        <x:v>检查方式</x:v>
      </x:c>
      <x:c r="E14" s="400" t="str">
        <x:v>落地位置</x:v>
      </x:c>
      <x:c r="F14" s="177"/>
      <x:c r="G14" s="455" t="str">
        <x:v>七层架构配色</x:v>
      </x:c>
      <x:c r="H14" s="456"/>
      <x:c r="I14" s="456"/>
      <x:c r="J14" s="457"/>
      <x:c r="K14" s="177"/>
      <x:c r="L14" s="177"/>
      <x:c r="M14" s="177"/>
      <x:c r="N14" s="177"/>
    </x:row>
    <x:row r="15" ht="28" customHeight="1">
      <x:c r="A15" s="406" t="str">
        <x:v>生成侧只生成自然语言</x:v>
      </x:c>
      <x:c r="B15" s="407" t="str">
        <x:v>禁止生成 action/target/structured_steps/script_code</x:v>
      </x:c>
      <x:c r="C15" s="407" t="str">
        <x:v>重新产生多链路</x:v>
      </x:c>
      <x:c r="D15" s="407" t="str">
        <x:v>架构测试 + import rule</x:v>
      </x:c>
      <x:c r="E15" s="408" t="str">
        <x:v>输入域/CI</x:v>
      </x:c>
      <x:c r="F15" s="177"/>
      <x:c r="G15" s="466" t="str">
        <x:v>1 输入生成</x:v>
      </x:c>
      <x:c r="H15" s="467"/>
      <x:c r="I15" s="467"/>
      <x:c r="J15" s="468"/>
      <x:c r="K15" s="177"/>
      <x:c r="L15" s="177"/>
      <x:c r="M15" s="177"/>
      <x:c r="N15" s="177"/>
    </x:row>
    <x:row r="16" ht="28" customHeight="1">
      <x:c r="A16" s="413" t="str">
        <x:v>所有内容无条件入资产</x:v>
      </x:c>
      <x:c r="B16" s="414" t="str">
        <x:v>质量问题不得阻止保存；只做ID、来源、幂等和去重</x:v>
      </x:c>
      <x:c r="C16" s="414" t="str">
        <x:v>资产丢失、用户无法修复</x:v>
      </x:c>
      <x:c r="D16" s="414" t="str">
        <x:v>入库测试</x:v>
      </x:c>
      <x:c r="E16" s="415" t="str">
        <x:v>资产域</x:v>
      </x:c>
      <x:c r="F16" s="177"/>
      <x:c r="G16" s="477" t="str">
        <x:v>2 测试资产</x:v>
      </x:c>
      <x:c r="H16" s="478"/>
      <x:c r="I16" s="478"/>
      <x:c r="J16" s="479"/>
      <x:c r="K16" s="177"/>
      <x:c r="L16" s="177"/>
      <x:c r="M16" s="177"/>
      <x:c r="N16" s="177"/>
    </x:row>
    <x:row r="17" ht="28" customHeight="1">
      <x:c r="A17" s="419" t="str">
        <x:v>智能评估入库后异步执行</x:v>
      </x:c>
      <x:c r="B17" s="420" t="str">
        <x:v>置信度和标签不得成为保存门禁</x:v>
      </x:c>
      <x:c r="C17" s="420" t="str">
        <x:v>形成隐性候选筛选</x:v>
      </x:c>
      <x:c r="D17" s="420" t="str">
        <x:v>状态检查</x:v>
      </x:c>
      <x:c r="E17" s="421" t="str">
        <x:v>资产域</x:v>
      </x:c>
      <x:c r="F17" s="177"/>
      <x:c r="G17" s="488" t="str">
        <x:v>3 转换域</x:v>
      </x:c>
      <x:c r="H17" s="489"/>
      <x:c r="I17" s="489"/>
      <x:c r="J17" s="490"/>
      <x:c r="K17" s="177"/>
      <x:c r="L17" s="177"/>
      <x:c r="M17" s="177"/>
      <x:c r="N17" s="177"/>
    </x:row>
    <x:row r="18" ht="28" customHeight="1">
      <x:c r="A18" s="425" t="str">
        <x:v>机器转换只有一个入口</x:v>
      </x:c>
      <x:c r="B18" s="426" t="str">
        <x:v>仅 Asset-to-Case 可结构化、绑定资源和编译</x:v>
      </x:c>
      <x:c r="C18" s="426" t="str">
        <x:v>规则漂移和重复编译</x:v>
      </x:c>
      <x:c r="D18" s="426" t="str">
        <x:v>架构测试</x:v>
      </x:c>
      <x:c r="E18" s="427" t="str">
        <x:v>转换域</x:v>
      </x:c>
      <x:c r="F18" s="177"/>
      <x:c r="G18" s="498" t="str">
        <x:v>4 公共资源</x:v>
      </x:c>
      <x:c r="H18" s="499"/>
      <x:c r="I18" s="499"/>
      <x:c r="J18" s="500"/>
      <x:c r="K18" s="177"/>
      <x:c r="L18" s="177"/>
      <x:c r="M18" s="177"/>
      <x:c r="N18" s="177"/>
    </x:row>
    <x:row r="19" ht="28" customHeight="1">
      <x:c r="A19" s="431" t="str">
        <x:v>资源统一走网关</x:v>
      </x:c>
      <x:c r="B19" s="432" t="str">
        <x:v>转换域不得直接访问资源表</x:v>
      </x:c>
      <x:c r="C19" s="432" t="str">
        <x:v>耦合和版本失控</x:v>
      </x:c>
      <x:c r="D19" s="432" t="str">
        <x:v>依赖扫描</x:v>
      </x:c>
      <x:c r="E19" s="433" t="str">
        <x:v>资源域</x:v>
      </x:c>
      <x:c r="F19" s="177"/>
      <x:c r="G19" s="509" t="str">
        <x:v>5 执行反馈</x:v>
      </x:c>
      <x:c r="H19" s="510"/>
      <x:c r="I19" s="510"/>
      <x:c r="J19" s="511"/>
      <x:c r="K19" s="177"/>
      <x:c r="L19" s="177"/>
      <x:c r="M19" s="177"/>
      <x:c r="N19" s="177"/>
    </x:row>
    <x:row r="20" ht="28" customHeight="1">
      <x:c r="A20" s="437" t="str">
        <x:v>所有执行拦截集中质量门</x:v>
      </x:c>
      <x:c r="B20" s="438" t="str">
        <x:v>转换失败不影响资产，只阻止TestCase创建</x:v>
      </x:c>
      <x:c r="C20" s="438" t="str">
        <x:v>错误脚本入库</x:v>
      </x:c>
      <x:c r="D20" s="438" t="str">
        <x:v>契约测试</x:v>
      </x:c>
      <x:c r="E20" s="439" t="str">
        <x:v>转换域</x:v>
      </x:c>
      <x:c r="F20" s="177"/>
      <x:c r="G20" s="520" t="str">
        <x:v>6 平台控制</x:v>
      </x:c>
      <x:c r="H20" s="521"/>
      <x:c r="I20" s="521"/>
      <x:c r="J20" s="522"/>
      <x:c r="K20" s="177"/>
      <x:c r="L20" s="177"/>
      <x:c r="M20" s="177"/>
      <x:c r="N20" s="177"/>
    </x:row>
    <x:row r="21" ht="28" customHeight="1">
      <x:c r="A21" s="443" t="str">
        <x:v>Runner只执行script_code</x:v>
      </x:c>
      <x:c r="B21" s="444" t="str">
        <x:v>禁止运行时回读自然语言重新生成</x:v>
      </x:c>
      <x:c r="C21" s="444" t="str">
        <x:v>结果不可复现</x:v>
      </x:c>
      <x:c r="D21" s="444" t="str">
        <x:v>执行测试</x:v>
      </x:c>
      <x:c r="E21" s="445" t="str">
        <x:v>执行域</x:v>
      </x:c>
      <x:c r="F21" s="177"/>
      <x:c r="G21" s="531" t="str">
        <x:v>7 技术基础设施</x:v>
      </x:c>
      <x:c r="H21" s="532"/>
      <x:c r="I21" s="532"/>
      <x:c r="J21" s="533"/>
      <x:c r="K21" s="177"/>
      <x:c r="L21" s="177"/>
      <x:c r="M21" s="177"/>
      <x:c r="N21" s="177"/>
    </x:row>
    <x:row r="22">
      <x:c r="A22" s="177"/>
      <x:c r="B22" s="177"/>
      <x:c r="C22" s="177"/>
      <x:c r="D22" s="177"/>
      <x:c r="E22" s="177"/>
      <x:c r="F22" s="177"/>
      <x:c r="G22" s="177"/>
      <x:c r="H22" s="177"/>
      <x:c r="I22" s="177"/>
      <x:c r="J22" s="177"/>
      <x:c r="K22" s="177"/>
      <x:c r="L22" s="177"/>
      <x:c r="M22" s="177"/>
      <x:c r="N22" s="177"/>
    </x:row>
    <x:row r="23">
      <x:c r="A23" s="177"/>
      <x:c r="B23" s="177"/>
      <x:c r="C23" s="177"/>
      <x:c r="D23" s="177"/>
      <x:c r="E23" s="177"/>
      <x:c r="F23" s="177"/>
      <x:c r="G23" s="177"/>
      <x:c r="H23" s="177"/>
      <x:c r="I23" s="177"/>
      <x:c r="J23" s="177"/>
      <x:c r="K23" s="177"/>
      <x:c r="L23" s="177"/>
      <x:c r="M23" s="177"/>
      <x:c r="N23" s="177"/>
    </x:row>
    <x:row r="24" ht="30" customHeight="1">
      <x:c r="A24" s="1167" t="str">
        <x:v>新增的数据设计明细</x:v>
      </x:c>
      <x:c r="B24" s="1168"/>
      <x:c r="C24" s="1168"/>
      <x:c r="D24" s="1168"/>
      <x:c r="E24" s="1168"/>
      <x:c r="F24" s="1168"/>
      <x:c r="G24" s="1168"/>
      <x:c r="H24" s="1168"/>
      <x:c r="I24" s="1168"/>
      <x:c r="J24" s="1169"/>
      <x:c r="K24" s="177"/>
      <x:c r="L24" s="177"/>
      <x:c r="M24" s="177"/>
      <x:c r="N24" s="177"/>
    </x:row>
    <x:row r="25" ht="34" customHeight="1">
      <x:c r="A25" s="1190" t="str">
        <x:v>工作表</x:v>
      </x:c>
      <x:c r="B25" s="1191" t="str">
        <x:v>内容</x:v>
      </x:c>
      <x:c r="C25" s="1178" t="str">
        <x:v>重点</x:v>
      </x:c>
      <x:c r="D25" s="1178" t="str"/>
      <x:c r="E25" s="1178" t="str"/>
      <x:c r="F25" s="1178" t="str"/>
      <x:c r="G25" s="1178" t="str"/>
      <x:c r="H25" s="1178" t="str"/>
      <x:c r="I25" s="1178" t="str"/>
      <x:c r="J25" s="1179" t="str"/>
      <x:c r="K25" s="177"/>
      <x:c r="L25" s="177"/>
      <x:c r="M25" s="177"/>
      <x:c r="N25" s="177"/>
    </x:row>
    <x:row r="26" ht="34" customHeight="1">
      <x:c r="A26" s="1192" t="str">
        <x:v>10_ID字段字典</x:v>
      </x:c>
      <x:c r="B26" s="1193" t="str">
        <x:v>每个域的核心 ID、字段、创建时机、生成方和约束</x:v>
      </x:c>
      <x:c r="C26" s="1188" t="str">
        <x:v>requirement_id、document_id、section_id、batch_id、asset_id、case_id、execution_id</x:v>
      </x:c>
      <x:c r="D26" s="1188" t="str"/>
      <x:c r="E26" s="1188" t="str"/>
      <x:c r="F26" s="1188" t="str"/>
      <x:c r="G26" s="1188" t="str"/>
      <x:c r="H26" s="1188" t="str"/>
      <x:c r="I26" s="1188" t="str"/>
      <x:c r="J26" s="1189" t="str"/>
      <x:c r="K26" s="177"/>
      <x:c r="L26" s="177"/>
      <x:c r="M26" s="177"/>
      <x:c r="N26" s="177"/>
    </x:row>
    <x:row r="27" ht="34" customHeight="1">
      <x:c r="A27" s="1190" t="str">
        <x:v>11_实体关系</x:v>
      </x:c>
      <x:c r="B27" s="1191" t="str">
        <x:v>实体之间的 1:N、N:N 关系和删除/失效策略</x:v>
      </x:c>
      <x:c r="C27" s="1178" t="str">
        <x:v>资产版本、来源、转换、资源、用例和执行关系</x:v>
      </x:c>
      <x:c r="D27" s="1178" t="str"/>
      <x:c r="E27" s="1178" t="str"/>
      <x:c r="F27" s="1178" t="str"/>
      <x:c r="G27" s="1178" t="str"/>
      <x:c r="H27" s="1178" t="str"/>
      <x:c r="I27" s="1178" t="str"/>
      <x:c r="J27" s="1179" t="str"/>
      <x:c r="K27" s="177"/>
      <x:c r="L27" s="177"/>
      <x:c r="M27" s="177"/>
      <x:c r="N27" s="177"/>
    </x:row>
    <x:row r="28" ht="34" customHeight="1">
      <x:c r="A28" s="1192" t="str">
        <x:v>12_状态枚举</x:v>
      </x:c>
      <x:c r="B28" s="1193" t="str">
        <x:v>审核、转换、资源、用例、执行和异步任务状态机</x:v>
      </x:c>
      <x:c r="C28" s="1188" t="str">
        <x:v>approved 与 blocked 分离，ready/stale/disabled</x:v>
      </x:c>
      <x:c r="D28" s="1188" t="str"/>
      <x:c r="E28" s="1188" t="str"/>
      <x:c r="F28" s="1188" t="str"/>
      <x:c r="G28" s="1188" t="str"/>
      <x:c r="H28" s="1188" t="str"/>
      <x:c r="I28" s="1188" t="str"/>
      <x:c r="J28" s="1189" t="str"/>
      <x:c r="K28" s="177"/>
      <x:c r="L28" s="177"/>
      <x:c r="M28" s="177"/>
      <x:c r="N28" s="177"/>
    </x:row>
    <x:row r="29" ht="34" customHeight="1">
      <x:c r="A29" s="1190" t="str">
        <x:v>13_字段传递链 / 14_领域数据明细</x:v>
      </x:c>
      <x:c r="B29" s="1191" t="str">
        <x:v>ID从需求到报告的继承链，以及建议数据库表</x:v>
      </x:c>
      <x:c r="C29" s="1178" t="str">
        <x:v>明确每一步新生成什么ID、保留什么事实源</x:v>
      </x:c>
      <x:c r="D29" s="1178" t="str"/>
      <x:c r="E29" s="1178" t="str"/>
      <x:c r="F29" s="1178" t="str"/>
      <x:c r="G29" s="1178" t="str"/>
      <x:c r="H29" s="1178" t="str"/>
      <x:c r="I29" s="1178" t="str"/>
      <x:c r="J29" s="1179" t="str"/>
      <x:c r="K29" s="177"/>
      <x:c r="L29" s="177"/>
      <x:c r="M29" s="177"/>
      <x:c r="N29" s="177"/>
    </x:row>
    <x:row r="30">
      <x:c r="A30" s="177"/>
      <x:c r="B30" s="177"/>
      <x:c r="C30" s="177"/>
      <x:c r="D30" s="177"/>
      <x:c r="E30" s="177"/>
      <x:c r="F30" s="177"/>
      <x:c r="G30" s="177"/>
      <x:c r="H30" s="177"/>
      <x:c r="I30" s="177"/>
      <x:c r="J30" s="177"/>
      <x:c r="K30" s="177"/>
      <x:c r="L30" s="177"/>
      <x:c r="M30" s="177"/>
      <x:c r="N30" s="177"/>
    </x:row>
    <x:row r="31" ht="30" customHeight="1">
      <x:c r="A31" s="1493" t="str">
        <x:v>第二轮补充：实施级模型</x:v>
      </x:c>
      <x:c r="B31" s="1494"/>
      <x:c r="C31" s="1494"/>
      <x:c r="D31" s="1494"/>
      <x:c r="E31" s="1494"/>
      <x:c r="F31" s="1494"/>
      <x:c r="G31" s="1494"/>
      <x:c r="H31" s="1494"/>
      <x:c r="I31" s="1494"/>
      <x:c r="J31" s="1495"/>
    </x:row>
    <x:row r="32" ht="36" customHeight="1">
      <x:c r="A32" s="1532" t="str">
        <x:v>工作表</x:v>
      </x:c>
      <x:c r="B32" s="1533" t="str">
        <x:v>补充内容</x:v>
      </x:c>
      <x:c r="C32" s="1534" t="str">
        <x:v>解决的问题</x:v>
      </x:c>
    </x:row>
    <x:row r="33" ht="36" customHeight="1">
      <x:c r="A33" s="1535" t="str">
        <x:v>15_需求覆盖模型</x:v>
      </x:c>
      <x:c r="B33" s="1536" t="str">
        <x:v>需求版本、验收标准、业务规则、覆盖关系</x:v>
      </x:c>
      <x:c r="C33" s="1537" t="str">
        <x:v>回答哪些需求未覆盖、自动化覆盖和执行覆盖</x:v>
      </x:c>
    </x:row>
    <x:row r="34" ht="36" customHeight="1">
      <x:c r="A34" s="1538" t="str">
        <x:v>16_测试计划与套件</x:v>
      </x:c>
      <x:c r="B34" s="1539" t="str">
        <x:v>Release、Build、Suite、Plan、Campaign</x:v>
      </x:c>
      <x:c r="C34" s="1540" t="str">
        <x:v>避免只调度散乱case_id，明确被测构建</x:v>
      </x:c>
    </x:row>
    <x:row r="35" ht="36" customHeight="1">
      <x:c r="A35" s="1535" t="str">
        <x:v>17_资源环境预占</x:v>
      </x:c>
      <x:c r="B35" s="1536" t="str">
        <x:v>测试数据预留、环境容量、资源锁、强制清理</x:v>
      </x:c>
      <x:c r="C35" s="1537" t="str">
        <x:v>解决并发冲突和环境污染</x:v>
      </x:c>
    </x:row>
    <x:row r="36" ht="36" customHeight="1">
      <x:c r="A36" s="1538" t="str">
        <x:v>18_执行步骤与Flaky</x:v>
      </x:c>
      <x:c r="B36" s="1539" t="str">
        <x:v>步骤结果、清理、重试、手工执行、Flaky隔离</x:v>
      </x:c>
      <x:c r="C36" s="1540" t="str">
        <x:v>精确定位失败并治理不稳定用例</x:v>
      </x:c>
    </x:row>
    <x:row r="37" ht="36" customHeight="1">
      <x:c r="A37" s="1535" t="str">
        <x:v>19_AI治理与评估</x:v>
      </x:c>
      <x:c r="B37" s="1536" t="str">
        <x:v>模型参数、成本、脱敏、基准评估、灰度发布</x:v>
      </x:c>
      <x:c r="C37" s="1537" t="str">
        <x:v>可量化模型和Prompt变更效果</x:v>
      </x:c>
    </x:row>
    <x:row r="38" ht="36" customHeight="1">
      <x:c r="A38" s="1538" t="str">
        <x:v>20_通用字段规范</x:v>
      </x:c>
      <x:c r="B38" s="1539" t="str">
        <x:v>项目隔离、审计、软删除、乐观锁、Trace</x:v>
      </x:c>
      <x:c r="C38" s="1540" t="str">
        <x:v>统一所有表的基础字段</x:v>
      </x:c>
    </x:row>
    <x:row r="39" ht="36" customHeight="1">
      <x:c r="A39" s="1535" t="str">
        <x:v>21_数据安全与保留</x:v>
      </x:c>
      <x:c r="B39" s="1536" t="str">
        <x:v>分类、脱敏、访问、保留、删除、法律保留</x:v>
      </x:c>
      <x:c r="C39" s="1537" t="str">
        <x:v>覆盖需求、日志、证据和凭证安全</x:v>
      </x:c>
    </x:row>
    <x:row r="40" ht="36" customHeight="1">
      <x:c r="A40" s="1541" t="str">
        <x:v>22_旧平台迁移计划</x:v>
      </x:c>
      <x:c r="B40" s="1542" t="str">
        <x:v>旧表映射、切流、校验、回滚和删除条件</x:v>
      </x:c>
      <x:c r="C40" s="1543" t="str">
        <x:v>确保V2落地后不被旧链拖住</x:v>
      </x:c>
    </x:row>
  </x:sheetData>
  <x:mergeCells>
    <x:mergeCell ref="A1:J1"/>
    <x:mergeCell ref="A2:J2"/>
    <x:mergeCell ref="G14:J14"/>
    <x:mergeCell ref="G15:J15"/>
    <x:mergeCell ref="G16:J16"/>
    <x:mergeCell ref="G17:J17"/>
    <x:mergeCell ref="G18:J18"/>
    <x:mergeCell ref="G19:J19"/>
    <x:mergeCell ref="G20:J20"/>
    <x:mergeCell ref="G21:J21"/>
    <x:mergeCell ref="A24:J24"/>
    <x:mergeCell ref="C25:J25"/>
    <x:mergeCell ref="C26:J26"/>
    <x:mergeCell ref="C27:J27"/>
    <x:mergeCell ref="C28:J28"/>
    <x:mergeCell ref="C29:J29"/>
    <x:mergeCell ref="A31:J31"/>
  </x:mergeCells>
  <x:conditionalFormatting sqref="C5:C11">
    <x:cfRule type="dataBar" priority="1">
      <x:dataBar>
        <x:cfvo type="min"/>
        <x:cfvo type="max"/>
        <x:color rgb="FF9FC5E8"/>
      </x:dataBar>
      <x:extLst>
        <x:ext xmlns:x14="http://schemas.microsoft.com/office/spreadsheetml/2009/9/main" uri="{B025F937-C7B1-47D3-B67F-A62EFF666E3E}">
          <x14:id>{60E28347-5783-8D6D-9504-686F9BC49942}</x14:id>
        </x:ext>
      </x:extLst>
    </x:cfRule>
  </x:conditionalFormatting>
  <x:conditionalFormatting sqref="G5:G11">
    <x:cfRule type="dataBar" priority="2">
      <x:dataBar>
        <x:cfvo type="min"/>
        <x:cfvo type="max"/>
        <x:color rgb="FFF4B6B8"/>
      </x:dataBar>
      <x:extLst>
        <x:ext xmlns:x14="http://schemas.microsoft.com/office/spreadsheetml/2009/9/main" uri="{B025F937-C7B1-47D3-B67F-A62EFF666E3E}">
          <x14:id>{EF81A50C-3BAA-D86B-2FD0-2620AC6512F2}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E28347-5783-8D6D-9504-686F9BC49942}">
            <x14:dataBar gradient="1">
              <x14:cfvo type="min"/>
              <x14:cfvo type="max"/>
              <x14:fillColor rgb="FF9FC5E8"/>
            </x14:dataBar>
          </x14:cfRule>
          <xm:sqref>C5:C11</xm:sqref>
        </x14:conditionalFormatting>
        <x14:conditionalFormatting>
          <x14:cfRule type="dataBar" priority="2" id="{EF81A50C-3BAA-D86B-2FD0-2620AC6512F2}">
            <x14:dataBar gradient="1">
              <x14:cfvo type="min"/>
              <x14:cfvo type="max"/>
              <x14:fillColor rgb="FFF4B6B8"/>
            </x14:dataBar>
          </x14:cfRule>
          <xm:sqref>G5:G11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550" t="str">
        <x:v>测试平台架构分层功能清单（完善和补充）</x:v>
      </x:c>
      <x:c r="B1" s="551"/>
      <x:c r="C1" s="551"/>
      <x:c r="D1" s="551"/>
      <x:c r="E1" s="551"/>
      <x:c r="F1" s="551"/>
      <x:c r="G1" s="551"/>
      <x:c r="H1" s="551"/>
      <x:c r="I1" s="551"/>
      <x:c r="J1" s="551"/>
      <x:c r="K1" s="551"/>
      <x:c r="L1" s="551"/>
      <x:c r="M1" s="551"/>
      <x:c r="N1" s="551"/>
      <x:c r="O1" s="551"/>
      <x:c r="P1" s="551"/>
      <x:c r="Q1" s="551"/>
      <x:c r="R1" s="552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718" t="n">
        <x:v>1</x:v>
      </x:c>
      <x:c r="B4" s="719" t="str">
        <x:v>多元输入与自然语言生成域</x:v>
      </x:c>
      <x:c r="C4" s="599" t="str">
        <x:v>统一入口</x:v>
      </x:c>
      <x:c r="D4" s="599" t="str">
        <x:v>Web 前端 / API / CI 调用</x:v>
      </x:c>
      <x:c r="E4" s="599" t="str">
        <x:v>统一接收 Web、API、CI 等触发请求，并建立标准请求上下文。</x:v>
      </x:c>
      <x:c r="F4" s="615" t="str">
        <x:v>入口</x:v>
      </x:c>
      <x:c r="G4" s="599" t="str">
        <x:v>用户请求、CI事件、API调用</x:v>
      </x:c>
      <x:c r="H4" s="599" t="str">
        <x:v>标准化请求、trace_id、request_id</x:v>
      </x:c>
      <x:c r="I4" s="599" t="str">
        <x:v>API Gateway、认证、项目作用域</x:v>
      </x:c>
      <x:c r="J4" s="599" t="str">
        <x:v>入口不得直接调用结构化或编译模块。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所有入口可映射到统一请求 DTO，且全链路携带 trace_id。</x:v>
      </x:c>
      <x:c r="P4" s="615" t="str">
        <x:v>未开始</x:v>
      </x:c>
      <x:c r="Q4" s="615" t="str"/>
      <x:c r="R4" s="600" t="str"/>
    </x:row>
    <x:row r="5" ht="34" customHeight="1">
      <x:c r="A5" s="720" t="n">
        <x:v>1</x:v>
      </x:c>
      <x:c r="B5" s="721" t="str">
        <x:v>多元输入与自然语言生成域</x:v>
      </x:c>
      <x:c r="C5" s="631" t="str">
        <x:v>输入源</x:v>
      </x:c>
      <x:c r="D5" s="631" t="str">
        <x:v>需求文档 / OpenAPI / 缺陷 / 日志</x:v>
      </x:c>
      <x:c r="E5" s="631" t="str">
        <x:v>接收非结构化或半结构化需求来源。</x:v>
      </x:c>
      <x:c r="F5" s="637" t="str">
        <x:v>输入源</x:v>
      </x:c>
      <x:c r="G5" s="631" t="str">
        <x:v>文件、URL、OpenAPI、缺陷单、日志</x:v>
      </x:c>
      <x:c r="H5" s="631" t="str">
        <x:v>SourceRecord</x:v>
      </x:c>
      <x:c r="I5" s="631" t="str">
        <x:v>对象存储、来源适配器</x:v>
      </x:c>
      <x:c r="J5" s="631" t="str">
        <x:v>原始内容必须保留只读快照；敏感信息需脱敏。</x:v>
      </x:c>
      <x:c r="K5" s="637" t="str">
        <x:v>原图</x:v>
      </x:c>
      <x:c r="L5" s="637" t="str">
        <x:v>是</x:v>
      </x:c>
      <x:c r="M5" s="637" t="str">
        <x:v>P0</x:v>
      </x:c>
      <x:c r="N5" s="637" t="str">
        <x:v>是</x:v>
      </x:c>
      <x:c r="O5" s="631" t="str">
        <x:v>每个来源生成稳定 source_id，可追踪原始内容。</x:v>
      </x:c>
      <x:c r="P5" s="637" t="str">
        <x:v>未开始</x:v>
      </x:c>
      <x:c r="Q5" s="637" t="str"/>
      <x:c r="R5" s="632" t="str"/>
    </x:row>
    <x:row r="6" ht="34" customHeight="1">
      <x:c r="A6" s="718" t="n">
        <x:v>1</x:v>
      </x:c>
      <x:c r="B6" s="719" t="str">
        <x:v>多元输入与自然语言生成域</x:v>
      </x:c>
      <x:c r="C6" s="599" t="str">
        <x:v>输入源</x:v>
      </x:c>
      <x:c r="D6" s="599" t="str">
        <x:v>手工录入 / 批量导入测试资产</x:v>
      </x:c>
      <x:c r="E6" s="599" t="str">
        <x:v>支持人工录入自然语言资产或批量导入已有资产。</x:v>
      </x:c>
      <x:c r="F6" s="615" t="str">
        <x:v>输入源</x:v>
      </x:c>
      <x:c r="G6" s="599" t="str">
        <x:v>表单、Excel/CSV、API Payload</x:v>
      </x:c>
      <x:c r="H6" s="599" t="str">
        <x:v>NaturalLanguageAssetDraft 列表</x:v>
      </x:c>
      <x:c r="I6" s="599" t="str">
        <x:v>统一资产入库服务</x:v>
      </x:c>
      <x:c r="J6" s="599" t="str">
        <x:v>手工输入同样不得绕过统一入库和去重。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手工和批量导入均直接进入资产中心，不产生候选预览。</x:v>
      </x:c>
      <x:c r="P6" s="615" t="str">
        <x:v>未开始</x:v>
      </x:c>
      <x:c r="Q6" s="615" t="str"/>
      <x:c r="R6" s="600" t="str"/>
    </x:row>
    <x:row r="7" ht="34" customHeight="1">
      <x:c r="A7" s="720" t="n">
        <x:v>1</x:v>
      </x:c>
      <x:c r="B7" s="721" t="str">
        <x:v>多元输入与自然语言生成域</x:v>
      </x:c>
      <x:c r="C7" s="631" t="str">
        <x:v>输入适配</x:v>
      </x:c>
      <x:c r="D7" s="631" t="str">
        <x:v>来源适配器注册中心</x:v>
      </x:c>
      <x:c r="E7" s="631" t="str">
        <x:v>统一管理文档、OpenAPI、缺陷、日志等来源适配器。</x:v>
      </x:c>
      <x:c r="F7" s="637" t="str">
        <x:v>补充服务</x:v>
      </x:c>
      <x:c r="G7" s="631" t="str">
        <x:v>source_type、原始来源</x:v>
      </x:c>
      <x:c r="H7" s="631" t="str">
        <x:v>标准化 SourceRecord</x:v>
      </x:c>
      <x:c r="I7" s="631" t="str">
        <x:v>输入源、插件机制</x:v>
      </x:c>
      <x:c r="J7" s="631" t="str">
        <x:v>新增来源只能通过适配器接入，禁止新增独立生成链。</x:v>
      </x:c>
      <x:c r="K7" s="637" t="str">
        <x:v>补充</x:v>
      </x:c>
      <x:c r="L7" s="637" t="str">
        <x:v>否</x:v>
      </x:c>
      <x:c r="M7" s="637" t="str">
        <x:v>P2</x:v>
      </x:c>
      <x:c r="N7" s="637" t="str">
        <x:v>否</x:v>
      </x:c>
      <x:c r="O7" s="631" t="str">
        <x:v>新增来源不修改主链即可接入。</x:v>
      </x:c>
      <x:c r="P7" s="637" t="str">
        <x:v>未开始</x:v>
      </x:c>
      <x:c r="Q7" s="637" t="str"/>
      <x:c r="R7" s="632" t="str"/>
    </x:row>
    <x:row r="8" ht="34" customHeight="1">
      <x:c r="A8" s="718" t="n">
        <x:v>1</x:v>
      </x:c>
      <x:c r="B8" s="719" t="str">
        <x:v>多元输入与自然语言生成域</x:v>
      </x:c>
      <x:c r="C8" s="599" t="str">
        <x:v>文档处理</x:v>
      </x:c>
      <x:c r="D8" s="599" t="str">
        <x:v>文档解析与章节模型</x:v>
      </x:c>
      <x:c r="E8" s="599" t="str">
        <x:v>解析文档内容、标题、章节和段落，建立稳定 section_id。</x:v>
      </x:c>
      <x:c r="F8" s="615" t="str">
        <x:v>补充处理</x:v>
      </x:c>
      <x:c r="G8" s="599" t="str">
        <x:v>source_document_id、文件内容</x:v>
      </x:c>
      <x:c r="H8" s="599" t="str">
        <x:v>DocumentSection 列表、解析状态</x:v>
      </x:c>
      <x:c r="I8" s="599" t="str">
        <x:v>对象存储、异步任务</x:v>
      </x:c>
      <x:c r="J8" s="599" t="str">
        <x:v>章节 ID 由后端生成；解析失败可重试。</x:v>
      </x:c>
      <x:c r="K8" s="615" t="str">
        <x:v>补充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文档章节可被选择并与后续资产建立多对多关联。</x:v>
      </x:c>
      <x:c r="P8" s="615" t="str">
        <x:v>未开始</x:v>
      </x:c>
      <x:c r="Q8" s="615" t="str"/>
      <x:c r="R8" s="600" t="str"/>
    </x:row>
    <x:row r="9" ht="34" customHeight="1">
      <x:c r="A9" s="720" t="n">
        <x:v>1</x:v>
      </x:c>
      <x:c r="B9" s="721" t="str">
        <x:v>多元输入与自然语言生成域</x:v>
      </x:c>
      <x:c r="C9" s="631" t="str">
        <x:v>生成上下文</x:v>
      </x:c>
      <x:c r="D9" s="631" t="str">
        <x:v>生成上下文</x:v>
      </x:c>
      <x:c r="E9" s="631" t="str">
        <x:v>基于项目、需求、文档、章节、页面和批次构建生成范围。</x:v>
      </x:c>
      <x:c r="F9" s="637" t="str">
        <x:v>处理</x:v>
      </x:c>
      <x:c r="G9" s="631" t="str">
        <x:v>project_id、requirement_id、document_id、section_ids、page_ids</x:v>
      </x:c>
      <x:c r="H9" s="631" t="str">
        <x:v>GenerationContext</x:v>
      </x:c>
      <x:c r="I9" s="631" t="str">
        <x:v>项目域、文档章节、页面对象中心</x:v>
      </x:c>
      <x:c r="J9" s="631" t="str">
        <x:v>不得使用固定 default/project/product 等正式默认值。</x:v>
      </x:c>
      <x:c r="K9" s="637" t="str">
        <x:v>原图</x:v>
      </x:c>
      <x:c r="L9" s="637" t="str">
        <x:v>是</x:v>
      </x:c>
      <x:c r="M9" s="637" t="str">
        <x:v>P0</x:v>
      </x:c>
      <x:c r="N9" s="637" t="str">
        <x:v>是</x:v>
      </x:c>
      <x:c r="O9" s="631" t="str">
        <x:v>每次生成前形成完整、可追踪的 GenerationContext。</x:v>
      </x:c>
      <x:c r="P9" s="637" t="str">
        <x:v>未开始</x:v>
      </x:c>
      <x:c r="Q9" s="637" t="str"/>
      <x:c r="R9" s="632" t="str"/>
    </x:row>
    <x:row r="10" ht="34" customHeight="1">
      <x:c r="A10" s="718" t="n">
        <x:v>1</x:v>
      </x:c>
      <x:c r="B10" s="719" t="str">
        <x:v>多元输入与自然语言生成域</x:v>
      </x:c>
      <x:c r="C10" s="599" t="str">
        <x:v>生成上下文</x:v>
      </x:c>
      <x:c r="D10" s="599" t="str">
        <x:v>生成批次管理</x:v>
      </x:c>
      <x:c r="E10" s="599" t="str">
        <x:v>记录一次生成任务的范围、状态、数量和模型调用信息。</x:v>
      </x:c>
      <x:c r="F10" s="615" t="str">
        <x:v>补充服务</x:v>
      </x:c>
      <x:c r="G10" s="599" t="str">
        <x:v>GenerationContext、request_id</x:v>
      </x:c>
      <x:c r="H10" s="599" t="str">
        <x:v>generation_batch_id、批次状态、统计</x:v>
      </x:c>
      <x:c r="I10" s="599" t="str">
        <x:v>统一ID、异步任务</x:v>
      </x:c>
      <x:c r="J10" s="599" t="str">
        <x:v>同一幂等请求必须复用批次或安全返回已有结果。</x:v>
      </x:c>
      <x:c r="K10" s="615" t="str">
        <x:v>补充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可按 batch_id 查询生成、入库、重复和失败数量。</x:v>
      </x:c>
      <x:c r="P10" s="615" t="str">
        <x:v>未开始</x:v>
      </x:c>
      <x:c r="Q10" s="615" t="str"/>
      <x:c r="R10" s="600" t="str"/>
    </x:row>
    <x:row r="11" ht="34" customHeight="1">
      <x:c r="A11" s="720" t="n">
        <x:v>1</x:v>
      </x:c>
      <x:c r="B11" s="721" t="str">
        <x:v>多元输入与自然语言生成域</x:v>
      </x:c>
      <x:c r="C11" s="631" t="str">
        <x:v>审计</x:v>
      </x:c>
      <x:c r="D11" s="631" t="str">
        <x:v>来源快照</x:v>
      </x:c>
      <x:c r="E11" s="631" t="str">
        <x:v>保留生成前的需求、章节、页面范围和模型输入快照。</x:v>
      </x:c>
      <x:c r="F11" s="637" t="str">
        <x:v>补充存储</x:v>
      </x:c>
      <x:c r="G11" s="631" t="str">
        <x:v>GenerationContext、原始内容</x:v>
      </x:c>
      <x:c r="H11" s="631" t="str">
        <x:v>immutable source_snapshot</x:v>
      </x:c>
      <x:c r="I11" s="631" t="str">
        <x:v>对象存储、审计日志</x:v>
      </x:c>
      <x:c r="J11" s="631" t="str">
        <x:v>快照只读，不得被后续编辑覆盖。</x:v>
      </x:c>
      <x:c r="K11" s="637" t="str">
        <x:v>补充</x:v>
      </x:c>
      <x:c r="L11" s="637" t="str">
        <x:v>是</x:v>
      </x:c>
      <x:c r="M11" s="637" t="str">
        <x:v>P1</x:v>
      </x:c>
      <x:c r="N11" s="637" t="str">
        <x:v>否</x:v>
      </x:c>
      <x:c r="O11" s="631" t="str">
        <x:v>任意资产可追溯到生成时的原始上下文。</x:v>
      </x:c>
      <x:c r="P11" s="637" t="str">
        <x:v>未开始</x:v>
      </x:c>
      <x:c r="Q11" s="637" t="str"/>
      <x:c r="R11" s="632" t="str"/>
    </x:row>
    <x:row r="12" ht="34" customHeight="1">
      <x:c r="A12" s="718" t="n">
        <x:v>1</x:v>
      </x:c>
      <x:c r="B12" s="719" t="str">
        <x:v>多元输入与自然语言生成域</x:v>
      </x:c>
      <x:c r="C12" s="599" t="str">
        <x:v>AI生成</x:v>
      </x:c>
      <x:c r="D12" s="599" t="str">
        <x:v>AI 生成自然语言测试点</x:v>
      </x:c>
      <x:c r="E12" s="599" t="str">
        <x:v>基于生成上下文输出纯业务描述的自然语言测试点。</x:v>
      </x:c>
      <x:c r="F12" s="615" t="str">
        <x:v>AI 核心</x:v>
      </x:c>
      <x:c r="G12" s="599" t="str">
        <x:v>GenerationContext、Prompt、模型配置</x:v>
      </x:c>
      <x:c r="H12" s="599" t="str">
        <x:v>NaturalLanguageTestPoint 列表</x:v>
      </x:c>
      <x:c r="I12" s="599" t="str">
        <x:v>模型服务、Prompt管理</x:v>
      </x:c>
      <x:c r="J12" s="599" t="str">
        <x:v>禁止输出 action、target、structured_steps、script_code。</x:v>
      </x:c>
      <x:c r="K12" s="615" t="str">
        <x:v>原图</x:v>
      </x:c>
      <x:c r="L12" s="615" t="str">
        <x:v>是</x:v>
      </x:c>
      <x:c r="M12" s="615" t="str">
        <x:v>P0</x:v>
      </x:c>
      <x:c r="N12" s="615" t="str">
        <x:v>是</x:v>
      </x:c>
      <x:c r="O12" s="599" t="str">
        <x:v>输出仅包含标题、前置条件、自然语言步骤、预期、优先级等业务字段。</x:v>
      </x:c>
      <x:c r="P12" s="615" t="str">
        <x:v>未开始</x:v>
      </x:c>
      <x:c r="Q12" s="615" t="str"/>
      <x:c r="R12" s="600" t="str"/>
    </x:row>
    <x:row r="13" ht="34" customHeight="1">
      <x:c r="A13" s="720" t="n">
        <x:v>1</x:v>
      </x:c>
      <x:c r="B13" s="721" t="str">
        <x:v>多元输入与自然语言生成域</x:v>
      </x:c>
      <x:c r="C13" s="631" t="str">
        <x:v>AI治理</x:v>
      </x:c>
      <x:c r="D13" s="631" t="str">
        <x:v>Prompt / 模型版本管理</x:v>
      </x:c>
      <x:c r="E13" s="631" t="str">
        <x:v>管理 Prompt、模型、参数和回滚版本。</x:v>
      </x:c>
      <x:c r="F13" s="637" t="str">
        <x:v>补充治理</x:v>
      </x:c>
      <x:c r="G13" s="631" t="str">
        <x:v>prompt_template、model_config</x:v>
      </x:c>
      <x:c r="H13" s="631" t="str">
        <x:v>prompt_version、model_run_id</x:v>
      </x:c>
      <x:c r="I13" s="631" t="str">
        <x:v>配置中心、审计</x:v>
      </x:c>
      <x:c r="J13" s="631" t="str">
        <x:v>每次生成必须记录模型和 Prompt 版本。</x:v>
      </x:c>
      <x:c r="K13" s="637" t="str">
        <x:v>补充</x:v>
      </x:c>
      <x:c r="L13" s="637" t="str">
        <x:v>是</x:v>
      </x:c>
      <x:c r="M13" s="637" t="str">
        <x:v>P1</x:v>
      </x:c>
      <x:c r="N13" s="637" t="str">
        <x:v>否</x:v>
      </x:c>
      <x:c r="O13" s="631" t="str">
        <x:v>生成结果可按 model_run_id 和 prompt_version 复现与追踪。</x:v>
      </x:c>
      <x:c r="P13" s="637" t="str">
        <x:v>未开始</x:v>
      </x:c>
      <x:c r="Q13" s="637" t="str"/>
      <x:c r="R13" s="632" t="str"/>
    </x:row>
    <x:row r="14" ht="34" customHeight="1">
      <x:c r="A14" s="718" t="n">
        <x:v>1</x:v>
      </x:c>
      <x:c r="B14" s="719" t="str">
        <x:v>多元输入与自然语言生成域</x:v>
      </x:c>
      <x:c r="C14" s="599" t="str">
        <x:v>输出检查</x:v>
      </x:c>
      <x:c r="D14" s="599" t="str">
        <x:v>自然语言输出 Schema 校验</x:v>
      </x:c>
      <x:c r="E14" s="599" t="str">
        <x:v>检查 AI 输出格式完整性并做有限容错。</x:v>
      </x:c>
      <x:c r="F14" s="615" t="str">
        <x:v>补充处理</x:v>
      </x:c>
      <x:c r="G14" s="599" t="str">
        <x:v>AI 输出</x:v>
      </x:c>
      <x:c r="H14" s="599" t="str">
        <x:v>合法 NaturalLanguageTestPoint 或 warning</x:v>
      </x:c>
      <x:c r="I14" s="599" t="str">
        <x:v>Schema版本、日志</x:v>
      </x:c>
      <x:c r="J14" s="599" t="str">
        <x:v>只校验格式，不做可执行性拦截。</x:v>
      </x:c>
      <x:c r="K14" s="615" t="str">
        <x:v>补充</x:v>
      </x:c>
      <x:c r="L14" s="615" t="str">
        <x:v>是</x:v>
      </x:c>
      <x:c r="M14" s="615" t="str">
        <x:v>P0</x:v>
      </x:c>
      <x:c r="N14" s="615" t="str">
        <x:v>是</x:v>
      </x:c>
      <x:c r="O14" s="599" t="str">
        <x:v>格式异常仍可入库为待修复资产，不因质量问题丢失。</x:v>
      </x:c>
      <x:c r="P14" s="615" t="str">
        <x:v>未开始</x:v>
      </x:c>
      <x:c r="Q14" s="615" t="str"/>
      <x:c r="R14" s="600" t="str"/>
    </x:row>
    <x:row r="15" ht="34" customHeight="1">
      <x:c r="A15" s="720" t="n">
        <x:v>1</x:v>
      </x:c>
      <x:c r="B15" s="721" t="str">
        <x:v>多元输入与自然语言生成域</x:v>
      </x:c>
      <x:c r="C15" s="631" t="str">
        <x:v>可观测性</x:v>
      </x:c>
      <x:c r="D15" s="631" t="str">
        <x:v>生成链路指标与追踪</x:v>
      </x:c>
      <x:c r="E15" s="631" t="str">
        <x:v>记录生成耗时、成功率、模型错误和批次指标。</x:v>
      </x:c>
      <x:c r="F15" s="637" t="str">
        <x:v>补充运维</x:v>
      </x:c>
      <x:c r="G15" s="631" t="str">
        <x:v>trace_id、batch_id、model_run_id</x:v>
      </x:c>
      <x:c r="H15" s="631" t="str">
        <x:v>日志、Metrics、告警</x:v>
      </x:c>
      <x:c r="I15" s="631" t="str">
        <x:v>可观测性平台</x:v>
      </x:c>
      <x:c r="J15" s="631" t="str">
        <x:v>正文和敏感内容不得写入普通日志。</x:v>
      </x:c>
      <x:c r="K15" s="637" t="str">
        <x:v>补充</x:v>
      </x:c>
      <x:c r="L15" s="637" t="str">
        <x:v>是</x:v>
      </x:c>
      <x:c r="M15" s="637" t="str">
        <x:v>P1</x:v>
      </x:c>
      <x:c r="N15" s="637" t="str">
        <x:v>否</x:v>
      </x:c>
      <x:c r="O15" s="631" t="str">
        <x:v>可按批次定位生成失败阶段。</x:v>
      </x:c>
      <x:c r="P15" s="637" t="str">
        <x:v>未开始</x:v>
      </x:c>
      <x:c r="Q15" s="637" t="str"/>
      <x:c r="R15" s="632" t="str"/>
    </x:row>
    <x:row r="16" ht="34" customHeight="1">
      <x:c r="A16" s="722" t="n">
        <x:v>2</x:v>
      </x:c>
      <x:c r="B16" s="723" t="str">
        <x:v>自然语言测试资产域</x:v>
      </x:c>
      <x:c r="C16" s="599" t="str">
        <x:v>统一入库</x:v>
      </x:c>
      <x:c r="D16" s="599" t="str">
        <x:v>统一资产入库服务</x:v>
      </x:c>
      <x:c r="E16" s="599" t="str">
        <x:v>接收所有自然语言资产，补齐身份和来源后统一入库。</x:v>
      </x:c>
      <x:c r="F16" s="615" t="str">
        <x:v>服务</x:v>
      </x:c>
      <x:c r="G16" s="599" t="str">
        <x:v>NaturalLanguageTestPoint / 手工资产、GenerationContext</x:v>
      </x:c>
      <x:c r="H16" s="599" t="str">
        <x:v>TestAsset、AssetVersion</x:v>
      </x:c>
      <x:c r="I16" s="599" t="str">
        <x:v>统一ID、去重、项目作用域</x:v>
      </x:c>
      <x:c r="J16" s="599" t="str">
        <x:v>不得调用自然语言结构化、页面绑定、Compiler。</x:v>
      </x:c>
      <x:c r="K16" s="615" t="str">
        <x:v>原图</x:v>
      </x:c>
      <x:c r="L16" s="615" t="str">
        <x:v>是</x:v>
      </x:c>
      <x:c r="M16" s="615" t="str">
        <x:v>P0</x:v>
      </x:c>
      <x:c r="N16" s="615" t="str">
        <x:v>是</x:v>
      </x:c>
      <x:c r="O16" s="599" t="str">
        <x:v>AI、手工、批量导入均只调用同一入库服务。</x:v>
      </x:c>
      <x:c r="P16" s="615" t="str">
        <x:v>未开始</x:v>
      </x:c>
      <x:c r="Q16" s="615" t="str"/>
      <x:c r="R16" s="600" t="str"/>
    </x:row>
    <x:row r="17" ht="34" customHeight="1">
      <x:c r="A17" s="724" t="n">
        <x:v>2</x:v>
      </x:c>
      <x:c r="B17" s="725" t="str">
        <x:v>自然语言测试资产域</x:v>
      </x:c>
      <x:c r="C17" s="414" t="str">
        <x:v>统一入库</x:v>
      </x:c>
      <x:c r="D17" s="414" t="str">
        <x:v>ID 分配与来源绑定</x:v>
      </x:c>
      <x:c r="E17" s="414" t="str">
        <x:v>前移 intent_id、asset_id、version_id 并绑定来源关系。</x:v>
      </x:c>
      <x:c r="F17" s="649" t="str">
        <x:v>补充服务</x:v>
      </x:c>
      <x:c r="G17" s="414" t="str">
        <x:v>GenerationContext、自然语言资产</x:v>
      </x:c>
      <x:c r="H17" s="414" t="str">
        <x:v>稳定ID、TestAssetSource</x:v>
      </x:c>
      <x:c r="I17" s="414" t="str">
        <x:v>统一ID、需求/文档/章节/页面模型</x:v>
      </x:c>
      <x:c r="J17" s="414" t="str">
        <x:v>权威 ID 由后端产生，不得由 LLM 编造。</x:v>
      </x:c>
      <x:c r="K17" s="649" t="str">
        <x:v>补充</x:v>
      </x:c>
      <x:c r="L17" s="649" t="str">
        <x:v>是</x:v>
      </x:c>
      <x:c r="M17" s="649" t="str">
        <x:v>P0</x:v>
      </x:c>
      <x:c r="N17" s="649" t="str">
        <x:v>是</x:v>
      </x:c>
      <x:c r="O17" s="414" t="str">
        <x:v>取消候选后所有资产仍具备完整需求、章节、页面、批次链路。</x:v>
      </x:c>
      <x:c r="P17" s="649" t="str">
        <x:v>未开始</x:v>
      </x:c>
      <x:c r="Q17" s="649" t="str"/>
      <x:c r="R17" s="415" t="str"/>
    </x:row>
    <x:row r="18" ht="34" customHeight="1">
      <x:c r="A18" s="722" t="n">
        <x:v>2</x:v>
      </x:c>
      <x:c r="B18" s="723" t="str">
        <x:v>自然语言测试资产域</x:v>
      </x:c>
      <x:c r="C18" s="599" t="str">
        <x:v>幂等</x:v>
      </x:c>
      <x:c r="D18" s="599" t="str">
        <x:v>幂等检查</x:v>
      </x:c>
      <x:c r="E18" s="599" t="str">
        <x:v>识别同一请求或消息重投，返回已有资产。</x:v>
      </x:c>
      <x:c r="F18" s="615" t="str">
        <x:v>处理</x:v>
      </x:c>
      <x:c r="G18" s="599" t="str">
        <x:v>idempotency_key、generated_item_key</x:v>
      </x:c>
      <x:c r="H18" s="599" t="str">
        <x:v>existing/new 决策</x:v>
      </x:c>
      <x:c r="I18" s="599" t="str">
        <x:v>Redis/数据库唯一键</x:v>
      </x:c>
      <x:c r="J18" s="599" t="str">
        <x:v>幂等不等于内容去重。</x:v>
      </x:c>
      <x:c r="K18" s="615" t="str">
        <x:v>原图</x:v>
      </x:c>
      <x:c r="L18" s="615" t="str">
        <x:v>是</x:v>
      </x:c>
      <x:c r="M18" s="615" t="str">
        <x:v>P0</x:v>
      </x:c>
      <x:c r="N18" s="615" t="str">
        <x:v>是</x:v>
      </x:c>
      <x:c r="O18" s="599" t="str">
        <x:v>重复提交不创建第二条资产。</x:v>
      </x:c>
      <x:c r="P18" s="615" t="str">
        <x:v>未开始</x:v>
      </x:c>
      <x:c r="Q18" s="615" t="str"/>
      <x:c r="R18" s="600" t="str"/>
    </x:row>
    <x:row r="19" ht="34" customHeight="1">
      <x:c r="A19" s="724" t="n">
        <x:v>2</x:v>
      </x:c>
      <x:c r="B19" s="725" t="str">
        <x:v>自然语言测试资产域</x:v>
      </x:c>
      <x:c r="C19" s="414" t="str">
        <x:v>去重</x:v>
      </x:c>
      <x:c r="D19" s="414" t="str">
        <x:v>精确重复检测</x:v>
      </x:c>
      <x:c r="E19" s="414" t="str">
        <x:v>根据标准化自然语言和作用域生成精确指纹。</x:v>
      </x:c>
      <x:c r="F19" s="649" t="str">
        <x:v>处理</x:v>
      </x:c>
      <x:c r="G19" s="414" t="str">
        <x:v>标题、步骤、预期、project/requirement/page</x:v>
      </x:c>
      <x:c r="H19" s="414" t="str">
        <x:v>fingerprint、exact duplicate 结果</x:v>
      </x:c>
      <x:c r="I19" s="414" t="str">
        <x:v>文本标准化、索引</x:v>
      </x:c>
      <x:c r="J19" s="414" t="str">
        <x:v>不能因文本格式差异误判；来源不同需保留关联。</x:v>
      </x:c>
      <x:c r="K19" s="649" t="str">
        <x:v>原图</x:v>
      </x:c>
      <x:c r="L19" s="649" t="str">
        <x:v>是</x:v>
      </x:c>
      <x:c r="M19" s="649" t="str">
        <x:v>P0</x:v>
      </x:c>
      <x:c r="N19" s="649" t="str">
        <x:v>是</x:v>
      </x:c>
      <x:c r="O19" s="414" t="str">
        <x:v>同作用域完全重复可复用资产或补充来源。</x:v>
      </x:c>
      <x:c r="P19" s="649" t="str">
        <x:v>未开始</x:v>
      </x:c>
      <x:c r="Q19" s="649" t="str"/>
      <x:c r="R19" s="415" t="str"/>
    </x:row>
    <x:row r="20" ht="34" customHeight="1">
      <x:c r="A20" s="722" t="n">
        <x:v>2</x:v>
      </x:c>
      <x:c r="B20" s="723" t="str">
        <x:v>自然语言测试资产域</x:v>
      </x:c>
      <x:c r="C20" s="599" t="str">
        <x:v>去重</x:v>
      </x:c>
      <x:c r="D20" s="599" t="str">
        <x:v>语义重复检测</x:v>
      </x:c>
      <x:c r="E20" s="599" t="str">
        <x:v>异步识别疑似语义重复资产。</x:v>
      </x:c>
      <x:c r="F20" s="615" t="str">
        <x:v>补充AI</x:v>
      </x:c>
      <x:c r="G20" s="599" t="str">
        <x:v>自然语言资产、向量</x:v>
      </x:c>
      <x:c r="H20" s="599" t="str">
        <x:v>similarity_score、duplicate_relation</x:v>
      </x:c>
      <x:c r="I20" s="599" t="str">
        <x:v>向量服务、异步任务</x:v>
      </x:c>
      <x:c r="J20" s="599" t="str">
        <x:v>疑似重复不得自动删除或阻止入库。</x:v>
      </x:c>
      <x:c r="K20" s="615" t="str">
        <x:v>补充</x:v>
      </x:c>
      <x:c r="L20" s="615" t="str">
        <x:v>否</x:v>
      </x:c>
      <x:c r="M20" s="615" t="str">
        <x:v>P1</x:v>
      </x:c>
      <x:c r="N20" s="615" t="str">
        <x:v>否</x:v>
      </x:c>
      <x:c r="O20" s="599" t="str">
        <x:v>疑似重复仍成功入库并可人工处理。</x:v>
      </x:c>
      <x:c r="P20" s="615" t="str">
        <x:v>未开始</x:v>
      </x:c>
      <x:c r="Q20" s="615" t="str"/>
      <x:c r="R20" s="600" t="str"/>
    </x:row>
    <x:row r="21" ht="34" customHeight="1">
      <x:c r="A21" s="724" t="n">
        <x:v>2</x:v>
      </x:c>
      <x:c r="B21" s="725" t="str">
        <x:v>自然语言测试资产域</x:v>
      </x:c>
      <x:c r="C21" s="414" t="str">
        <x:v>存储</x:v>
      </x:c>
      <x:c r="D21" s="414" t="str">
        <x:v>自然语言测试资产库</x:v>
      </x:c>
      <x:c r="E21" s="414" t="str">
        <x:v>持久化 TestAsset 身份和当前版本。</x:v>
      </x:c>
      <x:c r="F21" s="649" t="str">
        <x:v>存储</x:v>
      </x:c>
      <x:c r="G21" s="414" t="str">
        <x:v>资产身份、状态、来源</x:v>
      </x:c>
      <x:c r="H21" s="414" t="str">
        <x:v>TestAsset</x:v>
      </x:c>
      <x:c r="I21" s="414" t="str">
        <x:v>数据库、版本管理</x:v>
      </x:c>
      <x:c r="J21" s="414" t="str">
        <x:v>资产库不保存 script_code 作为业务内容。</x:v>
      </x:c>
      <x:c r="K21" s="649" t="str">
        <x:v>原图</x:v>
      </x:c>
      <x:c r="L21" s="649" t="str">
        <x:v>是</x:v>
      </x:c>
      <x:c r="M21" s="649" t="str">
        <x:v>P0</x:v>
      </x:c>
      <x:c r="N21" s="649" t="str">
        <x:v>是</x:v>
      </x:c>
      <x:c r="O21" s="414" t="str">
        <x:v>资产内容事实源明确，能关联当前版本。</x:v>
      </x:c>
      <x:c r="P21" s="649" t="str">
        <x:v>未开始</x:v>
      </x:c>
      <x:c r="Q21" s="649" t="str"/>
      <x:c r="R21" s="415" t="str"/>
    </x:row>
    <x:row r="22" ht="34" customHeight="1">
      <x:c r="A22" s="722" t="n">
        <x:v>2</x:v>
      </x:c>
      <x:c r="B22" s="723" t="str">
        <x:v>自然语言测试资产域</x:v>
      </x:c>
      <x:c r="C22" s="599" t="str">
        <x:v>版本</x:v>
      </x:c>
      <x:c r="D22" s="599" t="str">
        <x:v>资产版本库</x:v>
      </x:c>
      <x:c r="E22" s="599" t="str">
        <x:v>保存每次自然语言内容编辑形成的 AssetVersion。</x:v>
      </x:c>
      <x:c r="F22" s="615" t="str">
        <x:v>补充存储</x:v>
      </x:c>
      <x:c r="G22" s="599" t="str">
        <x:v>编辑前后内容、操作人</x:v>
      </x:c>
      <x:c r="H22" s="599" t="str">
        <x:v>AssetVersion、diff</x:v>
      </x:c>
      <x:c r="I22" s="599" t="str">
        <x:v>版本管理、审计</x:v>
      </x:c>
      <x:c r="J22" s="599" t="str">
        <x:v>审核和转换必须绑定具体版本。</x:v>
      </x:c>
      <x:c r="K22" s="615" t="str">
        <x:v>补充</x:v>
      </x:c>
      <x:c r="L22" s="615" t="str">
        <x:v>是</x:v>
      </x:c>
      <x:c r="M22" s="615" t="str">
        <x:v>P0</x:v>
      </x:c>
      <x:c r="N22" s="615" t="str">
        <x:v>是</x:v>
      </x:c>
      <x:c r="O22" s="599" t="str">
        <x:v>历史版本可查看、恢复和对比。</x:v>
      </x:c>
      <x:c r="P22" s="615" t="str">
        <x:v>未开始</x:v>
      </x:c>
      <x:c r="Q22" s="615" t="str"/>
      <x:c r="R22" s="600" t="str"/>
    </x:row>
    <x:row r="23" ht="34" customHeight="1">
      <x:c r="A23" s="724" t="n">
        <x:v>2</x:v>
      </x:c>
      <x:c r="B23" s="725" t="str">
        <x:v>自然语言测试资产域</x:v>
      </x:c>
      <x:c r="C23" s="414" t="str">
        <x:v>来源</x:v>
      </x:c>
      <x:c r="D23" s="414" t="str">
        <x:v>资产来源关系</x:v>
      </x:c>
      <x:c r="E23" s="414" t="str">
        <x:v>保存资产与需求、文档、章节、页面和批次的多对多关系。</x:v>
      </x:c>
      <x:c r="F23" s="649" t="str">
        <x:v>补充存储</x:v>
      </x:c>
      <x:c r="G23" s="414" t="str">
        <x:v>各来源ID</x:v>
      </x:c>
      <x:c r="H23" s="414" t="str">
        <x:v>TestAssetSource</x:v>
      </x:c>
      <x:c r="I23" s="414" t="str">
        <x:v>GenerationContext</x:v>
      </x:c>
      <x:c r="J23" s="414" t="str">
        <x:v>来源关系只读，不得被内容编辑覆盖。</x:v>
      </x:c>
      <x:c r="K23" s="649" t="str">
        <x:v>补充</x:v>
      </x:c>
      <x:c r="L23" s="649" t="str">
        <x:v>是</x:v>
      </x:c>
      <x:c r="M23" s="649" t="str">
        <x:v>P0</x:v>
      </x:c>
      <x:c r="N23" s="649" t="str">
        <x:v>是</x:v>
      </x:c>
      <x:c r="O23" s="414" t="str">
        <x:v>从资产可完整追溯到所有来源范围。</x:v>
      </x:c>
      <x:c r="P23" s="649" t="str">
        <x:v>未开始</x:v>
      </x:c>
      <x:c r="Q23" s="649" t="str"/>
      <x:c r="R23" s="415" t="str"/>
    </x:row>
    <x:row r="24" ht="34" customHeight="1">
      <x:c r="A24" s="722" t="n">
        <x:v>2</x:v>
      </x:c>
      <x:c r="B24" s="723" t="str">
        <x:v>自然语言测试资产域</x:v>
      </x:c>
      <x:c r="C24" s="599" t="str">
        <x:v>智能辅助</x:v>
      </x:c>
      <x:c r="D24" s="599" t="str">
        <x:v>异步智能评估</x:v>
      </x:c>
      <x:c r="E24" s="599" t="str">
        <x:v>入库后进行置信度、标签、场景建议和内容 warning。</x:v>
      </x:c>
      <x:c r="F24" s="615" t="str">
        <x:v>AI 辅助</x:v>
      </x:c>
      <x:c r="G24" s="599" t="str">
        <x:v>TestAssetVersion</x:v>
      </x:c>
      <x:c r="H24" s="599" t="str">
        <x:v>confidence、tags、scenario_suggestions</x:v>
      </x:c>
      <x:c r="I24" s="599" t="str">
        <x:v>异步任务、AI模型</x:v>
      </x:c>
      <x:c r="J24" s="599" t="str">
        <x:v>不能成为入库拦截。</x:v>
      </x:c>
      <x:c r="K24" s="615" t="str">
        <x:v>原图</x:v>
      </x:c>
      <x:c r="L24" s="615" t="str">
        <x:v>否</x:v>
      </x:c>
      <x:c r="M24" s="615" t="str">
        <x:v>P1</x:v>
      </x:c>
      <x:c r="N24" s="615" t="str">
        <x:v>否</x:v>
      </x:c>
      <x:c r="O24" s="599" t="str">
        <x:v>评估失败不影响资产保存。</x:v>
      </x:c>
      <x:c r="P24" s="615" t="str">
        <x:v>未开始</x:v>
      </x:c>
      <x:c r="Q24" s="615" t="str"/>
      <x:c r="R24" s="600" t="str"/>
    </x:row>
    <x:row r="25" ht="34" customHeight="1">
      <x:c r="A25" s="724" t="n">
        <x:v>2</x:v>
      </x:c>
      <x:c r="B25" s="725" t="str">
        <x:v>自然语言测试资产域</x:v>
      </x:c>
      <x:c r="C25" s="414" t="str">
        <x:v>业务中心</x:v>
      </x:c>
      <x:c r="D25" s="414" t="str">
        <x:v>测试资产中心</x:v>
      </x:c>
      <x:c r="E25" s="414" t="str">
        <x:v>提供列表、查看、编辑、删除、恢复、审核、版本和重复管理。</x:v>
      </x:c>
      <x:c r="F25" s="649" t="str">
        <x:v>业务中心</x:v>
      </x:c>
      <x:c r="G25" s="414" t="str">
        <x:v>TestAsset、AssetVersion、来源关系</x:v>
      </x:c>
      <x:c r="H25" s="414" t="str">
        <x:v>更新版本、审核记录、批量操作</x:v>
      </x:c>
      <x:c r="I25" s="414" t="str">
        <x:v>前端、API、审计</x:v>
      </x:c>
      <x:c r="J25" s="414" t="str">
        <x:v>资产中心只管理自然语言，不编辑机器脚本。</x:v>
      </x:c>
      <x:c r="K25" s="649" t="str">
        <x:v>原图</x:v>
      </x:c>
      <x:c r="L25" s="649" t="str">
        <x:v>是</x:v>
      </x:c>
      <x:c r="M25" s="649" t="str">
        <x:v>P0</x:v>
      </x:c>
      <x:c r="N25" s="649" t="str">
        <x:v>是</x:v>
      </x:c>
      <x:c r="O25" s="414" t="str">
        <x:v>用户可完成资产全生命周期管理。</x:v>
      </x:c>
      <x:c r="P25" s="649" t="str">
        <x:v>未开始</x:v>
      </x:c>
      <x:c r="Q25" s="649" t="str"/>
      <x:c r="R25" s="415" t="str"/>
    </x:row>
    <x:row r="26" ht="34" customHeight="1">
      <x:c r="A26" s="722" t="n">
        <x:v>2</x:v>
      </x:c>
      <x:c r="B26" s="723" t="str">
        <x:v>自然语言测试资产域</x:v>
      </x:c>
      <x:c r="C26" s="599" t="str">
        <x:v>状态</x:v>
      </x:c>
      <x:c r="D26" s="599" t="str">
        <x:v>内容审核状态</x:v>
      </x:c>
      <x:c r="E26" s="599" t="str">
        <x:v>管理 pending/approved/rejected，绑定具体资产版本。</x:v>
      </x:c>
      <x:c r="F26" s="615" t="str">
        <x:v>补充管理</x:v>
      </x:c>
      <x:c r="G26" s="599" t="str">
        <x:v>AssetVersion、审核动作</x:v>
      </x:c>
      <x:c r="H26" s="599" t="str">
        <x:v>review_status、review_record</x:v>
      </x:c>
      <x:c r="I26" s="599" t="str">
        <x:v>审计、权限</x:v>
      </x:c>
      <x:c r="J26" s="599" t="str">
        <x:v>审核通过不代表技术转换成功。</x:v>
      </x:c>
      <x:c r="K26" s="615" t="str">
        <x:v>补充</x:v>
      </x:c>
      <x:c r="L26" s="615" t="str">
        <x:v>是</x:v>
      </x:c>
      <x:c r="M26" s="615" t="str">
        <x:v>P0</x:v>
      </x:c>
      <x:c r="N26" s="615" t="str">
        <x:v>是</x:v>
      </x:c>
      <x:c r="O26" s="599" t="str">
        <x:v>审核状态与转换状态完全独立。</x:v>
      </x:c>
      <x:c r="P26" s="615" t="str">
        <x:v>未开始</x:v>
      </x:c>
      <x:c r="Q26" s="615" t="str"/>
      <x:c r="R26" s="600" t="str"/>
    </x:row>
    <x:row r="27" ht="34" customHeight="1">
      <x:c r="A27" s="724" t="n">
        <x:v>2</x:v>
      </x:c>
      <x:c r="B27" s="725" t="str">
        <x:v>自然语言测试资产域</x:v>
      </x:c>
      <x:c r="C27" s="414" t="str">
        <x:v>状态</x:v>
      </x:c>
      <x:c r="D27" s="414" t="str">
        <x:v>转换状态</x:v>
      </x:c>
      <x:c r="E27" s="414" t="str">
        <x:v>管理 not_started/processing/blocked/succeeded/stale。</x:v>
      </x:c>
      <x:c r="F27" s="649" t="str">
        <x:v>补充管理</x:v>
      </x:c>
      <x:c r="G27" s="414" t="str">
        <x:v>ConversionAttempt 结果</x:v>
      </x:c>
      <x:c r="H27" s="414" t="str">
        <x:v>conversion_status</x:v>
      </x:c>
      <x:c r="I27" s="414" t="str">
        <x:v>转换域</x:v>
      </x:c>
      <x:c r="J27" s="414" t="str">
        <x:v>转换失败不得回滚内容审核。</x:v>
      </x:c>
      <x:c r="K27" s="649" t="str">
        <x:v>补充</x:v>
      </x:c>
      <x:c r="L27" s="649" t="str">
        <x:v>是</x:v>
      </x:c>
      <x:c r="M27" s="649" t="str">
        <x:v>P0</x:v>
      </x:c>
      <x:c r="N27" s="649" t="str">
        <x:v>是</x:v>
      </x:c>
      <x:c r="O27" s="414" t="str">
        <x:v>可同时出现 approved + blocked。</x:v>
      </x:c>
      <x:c r="P27" s="649" t="str">
        <x:v>未开始</x:v>
      </x:c>
      <x:c r="Q27" s="649" t="str"/>
      <x:c r="R27" s="415" t="str"/>
    </x:row>
    <x:row r="28" ht="34" customHeight="1">
      <x:c r="A28" s="722" t="n">
        <x:v>2</x:v>
      </x:c>
      <x:c r="B28" s="723" t="str">
        <x:v>自然语言测试资产域</x:v>
      </x:c>
      <x:c r="C28" s="599" t="str">
        <x:v>删除</x:v>
      </x:c>
      <x:c r="D28" s="599" t="str">
        <x:v>软删除与回收站</x:v>
      </x:c>
      <x:c r="E28" s="599" t="str">
        <x:v>支持删除、恢复和批量清理。</x:v>
      </x:c>
      <x:c r="F28" s="615" t="str">
        <x:v>补充管理</x:v>
      </x:c>
      <x:c r="G28" s="599" t="str">
        <x:v>删除操作</x:v>
      </x:c>
      <x:c r="H28" s="599" t="str">
        <x:v>deleted_at、restore_record</x:v>
      </x:c>
      <x:c r="I28" s="599" t="str">
        <x:v>审计、版本管理</x:v>
      </x:c>
      <x:c r="J28" s="599" t="str">
        <x:v>被测试用例引用的资产不得物理删除。</x:v>
      </x:c>
      <x:c r="K28" s="615" t="str">
        <x:v>补充</x:v>
      </x:c>
      <x:c r="L28" s="615" t="str">
        <x:v>是</x:v>
      </x:c>
      <x:c r="M28" s="615" t="str">
        <x:v>P1</x:v>
      </x:c>
      <x:c r="N28" s="615" t="str">
        <x:v>否</x:v>
      </x:c>
      <x:c r="O28" s="599" t="str">
        <x:v>误删可恢复，历史链路不丢失。</x:v>
      </x:c>
      <x:c r="P28" s="615" t="str">
        <x:v>未开始</x:v>
      </x:c>
      <x:c r="Q28" s="615" t="str"/>
      <x:c r="R28" s="600" t="str"/>
    </x:row>
    <x:row r="29" ht="34" customHeight="1">
      <x:c r="A29" s="724" t="n">
        <x:v>2</x:v>
      </x:c>
      <x:c r="B29" s="725" t="str">
        <x:v>自然语言测试资产域</x:v>
      </x:c>
      <x:c r="C29" s="414" t="str">
        <x:v>去重治理</x:v>
      </x:c>
      <x:c r="D29" s="414" t="str">
        <x:v>重复关系与合并记录</x:v>
      </x:c>
      <x:c r="E29" s="414" t="str">
        <x:v>记录 exact/suspected/merged 关系和合并历史。</x:v>
      </x:c>
      <x:c r="F29" s="649" t="str">
        <x:v>存储</x:v>
      </x:c>
      <x:c r="G29" s="414" t="str">
        <x:v>重复检测结果、人工操作</x:v>
      </x:c>
      <x:c r="H29" s="414" t="str">
        <x:v>DuplicateRelation、MergeRecord</x:v>
      </x:c>
      <x:c r="I29" s="414" t="str">
        <x:v>去重服务、审计</x:v>
      </x:c>
      <x:c r="J29" s="414" t="str">
        <x:v>合并必须保留双方来源和历史版本。</x:v>
      </x:c>
      <x:c r="K29" s="649" t="str">
        <x:v>原图</x:v>
      </x:c>
      <x:c r="L29" s="649" t="str">
        <x:v>否</x:v>
      </x:c>
      <x:c r="M29" s="649" t="str">
        <x:v>P1</x:v>
      </x:c>
      <x:c r="N29" s="649" t="str">
        <x:v>否</x:v>
      </x:c>
      <x:c r="O29" s="414" t="str">
        <x:v>重复资产可人工保留、合并或删除。</x:v>
      </x:c>
      <x:c r="P29" s="649" t="str">
        <x:v>未开始</x:v>
      </x:c>
      <x:c r="Q29" s="649" t="str"/>
      <x:c r="R29" s="415" t="str"/>
    </x:row>
    <x:row r="30" ht="34" customHeight="1">
      <x:c r="A30" s="722" t="n">
        <x:v>2</x:v>
      </x:c>
      <x:c r="B30" s="723" t="str">
        <x:v>自然语言测试资产域</x:v>
      </x:c>
      <x:c r="C30" s="599" t="str">
        <x:v>批量能力</x:v>
      </x:c>
      <x:c r="D30" s="599" t="str">
        <x:v>批量操作任务</x:v>
      </x:c>
      <x:c r="E30" s="599" t="str">
        <x:v>支持批量审核、标签、删除和发起转换。</x:v>
      </x:c>
      <x:c r="F30" s="615" t="str">
        <x:v>补充服务</x:v>
      </x:c>
      <x:c r="G30" s="599" t="str">
        <x:v>asset_ids、operation</x:v>
      </x:c>
      <x:c r="H30" s="599" t="str">
        <x:v>异步任务结果</x:v>
      </x:c>
      <x:c r="I30" s="599" t="str">
        <x:v>Job、权限、审计</x:v>
      </x:c>
      <x:c r="J30" s="599" t="str">
        <x:v>大批量操作必须异步并限制规模。</x:v>
      </x:c>
      <x:c r="K30" s="615" t="str">
        <x:v>补充</x:v>
      </x:c>
      <x:c r="L30" s="615" t="str">
        <x:v>否</x:v>
      </x:c>
      <x:c r="M30" s="615" t="str">
        <x:v>P1</x:v>
      </x:c>
      <x:c r="N30" s="615" t="str">
        <x:v>否</x:v>
      </x:c>
      <x:c r="O30" s="599" t="str">
        <x:v>批量任务可查看成功/失败明细。</x:v>
      </x:c>
      <x:c r="P30" s="615" t="str">
        <x:v>未开始</x:v>
      </x:c>
      <x:c r="Q30" s="615" t="str"/>
      <x:c r="R30" s="600" t="str"/>
    </x:row>
    <x:row r="31" ht="34" customHeight="1">
      <x:c r="A31" s="726" t="n">
        <x:v>3</x:v>
      </x:c>
      <x:c r="B31" s="727" t="str">
        <x:v>Asset-to-Case 转换与统一拦截域</x:v>
      </x:c>
      <x:c r="C31" s="599" t="str">
        <x:v>触发</x:v>
      </x:c>
      <x:c r="D31" s="599" t="str">
        <x:v>内容审核通过并发起转换</x:v>
      </x:c>
      <x:c r="E31" s="599" t="str">
        <x:v>从指定已审核资产版本发起保存为测试用例。</x:v>
      </x:c>
      <x:c r="F31" s="615" t="str">
        <x:v>触发</x:v>
      </x:c>
      <x:c r="G31" s="599" t="str">
        <x:v>asset_id、asset_version_id、environment_id</x:v>
      </x:c>
      <x:c r="H31" s="599" t="str">
        <x:v>conversion_request</x:v>
      </x:c>
      <x:c r="I31" s="599" t="str">
        <x:v>资产中心、权限</x:v>
      </x:c>
      <x:c r="J31" s="599" t="str">
        <x:v>不得接受 candidate、steps_hint 或未审核版本。</x:v>
      </x:c>
      <x:c r="K31" s="615" t="str">
        <x:v>原图</x:v>
      </x:c>
      <x:c r="L31" s="615" t="str">
        <x:v>是</x:v>
      </x:c>
      <x:c r="M31" s="615" t="str">
        <x:v>P0</x:v>
      </x:c>
      <x:c r="N31" s="615" t="str">
        <x:v>是</x:v>
      </x:c>
      <x:c r="O31" s="599" t="str">
        <x:v>转换入口只接受明确的自然语言资产版本。</x:v>
      </x:c>
      <x:c r="P31" s="615" t="str">
        <x:v>未开始</x:v>
      </x:c>
      <x:c r="Q31" s="615" t="str"/>
      <x:c r="R31" s="600" t="str"/>
    </x:row>
    <x:row r="32" ht="34" customHeight="1">
      <x:c r="A32" s="728" t="n">
        <x:v>3</x:v>
      </x:c>
      <x:c r="B32" s="729" t="str">
        <x:v>Asset-to-Case 转换与统一拦截域</x:v>
      </x:c>
      <x:c r="C32" s="420" t="str">
        <x:v>一致性</x:v>
      </x:c>
      <x:c r="D32" s="420" t="str">
        <x:v>资产版本锁定</x:v>
      </x:c>
      <x:c r="E32" s="420" t="str">
        <x:v>防止转换过程中资产被修改造成结果漂移。</x:v>
      </x:c>
      <x:c r="F32" s="661" t="str">
        <x:v>补充控制</x:v>
      </x:c>
      <x:c r="G32" s="420" t="str">
        <x:v>asset_version_id</x:v>
      </x:c>
      <x:c r="H32" s="420" t="str">
        <x:v>version_lock / optimistic token</x:v>
      </x:c>
      <x:c r="I32" s="420" t="str">
        <x:v>版本管理、Redis</x:v>
      </x:c>
      <x:c r="J32" s="420" t="str">
        <x:v>长流程避免数据库长事务。</x:v>
      </x:c>
      <x:c r="K32" s="661" t="str">
        <x:v>补充</x:v>
      </x:c>
      <x:c r="L32" s="661" t="str">
        <x:v>是</x:v>
      </x:c>
      <x:c r="M32" s="661" t="str">
        <x:v>P0</x:v>
      </x:c>
      <x:c r="N32" s="661" t="str">
        <x:v>是</x:v>
      </x:c>
      <x:c r="O32" s="420" t="str">
        <x:v>转换始终基于不可变资产版本。</x:v>
      </x:c>
      <x:c r="P32" s="661" t="str">
        <x:v>未开始</x:v>
      </x:c>
      <x:c r="Q32" s="661" t="str"/>
      <x:c r="R32" s="421" t="str"/>
    </x:row>
    <x:row r="33" ht="34" customHeight="1">
      <x:c r="A33" s="726" t="n">
        <x:v>3</x:v>
      </x:c>
      <x:c r="B33" s="727" t="str">
        <x:v>Asset-to-Case 转换与统一拦截域</x:v>
      </x:c>
      <x:c r="C33" s="599" t="str">
        <x:v>转换记录</x:v>
      </x:c>
      <x:c r="D33" s="599" t="str">
        <x:v>ConversionAttempt</x:v>
      </x:c>
      <x:c r="E33" s="599" t="str">
        <x:v>记录每次转换的状态、阶段、资源绑定、错误和生成结果。</x:v>
      </x:c>
      <x:c r="F33" s="615" t="str">
        <x:v>存储</x:v>
      </x:c>
      <x:c r="G33" s="599" t="str">
        <x:v>转换请求</x:v>
      </x:c>
      <x:c r="H33" s="599" t="str">
        <x:v>ConversionAttempt</x:v>
      </x:c>
      <x:c r="I33" s="599" t="str">
        <x:v>统一ID、审计、异步任务</x:v>
      </x:c>
      <x:c r="J33" s="599" t="str">
        <x:v>每次重试产生新记录，历史不可覆盖。</x:v>
      </x:c>
      <x:c r="K33" s="615" t="str">
        <x:v>原图</x:v>
      </x:c>
      <x:c r="L33" s="615" t="str">
        <x:v>是</x:v>
      </x:c>
      <x:c r="M33" s="615" t="str">
        <x:v>P0</x:v>
      </x:c>
      <x:c r="N33" s="615" t="str">
        <x:v>是</x:v>
      </x:c>
      <x:c r="O33" s="599" t="str">
        <x:v>任何转换失败都能定位到具体阶段和错误。</x:v>
      </x:c>
      <x:c r="P33" s="615" t="str">
        <x:v>未开始</x:v>
      </x:c>
      <x:c r="Q33" s="615" t="str"/>
      <x:c r="R33" s="600" t="str"/>
    </x:row>
    <x:row r="34" ht="34" customHeight="1">
      <x:c r="A34" s="728" t="n">
        <x:v>3</x:v>
      </x:c>
      <x:c r="B34" s="729" t="str">
        <x:v>Asset-to-Case 转换与统一拦截域</x:v>
      </x:c>
      <x:c r="C34" s="420" t="str">
        <x:v>分析</x:v>
      </x:c>
      <x:c r="D34" s="420" t="str">
        <x:v>场景识别</x:v>
      </x:c>
      <x:c r="E34" s="420" t="str">
        <x:v>识别功能、异常、安全、性能、兼容等场景，可多标签。</x:v>
      </x:c>
      <x:c r="F34" s="661" t="str">
        <x:v>处理</x:v>
      </x:c>
      <x:c r="G34" s="420" t="str">
        <x:v>自然语言资产</x:v>
      </x:c>
      <x:c r="H34" s="420" t="str">
        <x:v>scenario_types</x:v>
      </x:c>
      <x:c r="I34" s="420" t="str">
        <x:v>AI模型、规则中心</x:v>
      </x:c>
      <x:c r="J34" s="420" t="str">
        <x:v>V1先支持 functional/negative/boundary。</x:v>
      </x:c>
      <x:c r="K34" s="661" t="str">
        <x:v>原图</x:v>
      </x:c>
      <x:c r="L34" s="661" t="str">
        <x:v>是</x:v>
      </x:c>
      <x:c r="M34" s="661" t="str">
        <x:v>P0</x:v>
      </x:c>
      <x:c r="N34" s="661" t="str">
        <x:v>是</x:v>
      </x:c>
      <x:c r="O34" s="420" t="str">
        <x:v>识别结果可人工覆盖且可追踪来源。</x:v>
      </x:c>
      <x:c r="P34" s="661" t="str">
        <x:v>未开始</x:v>
      </x:c>
      <x:c r="Q34" s="661" t="str"/>
      <x:c r="R34" s="421" t="str"/>
    </x:row>
    <x:row r="35" ht="34" customHeight="1">
      <x:c r="A35" s="726" t="n">
        <x:v>3</x:v>
      </x:c>
      <x:c r="B35" s="727" t="str">
        <x:v>Asset-to-Case 转换与统一拦截域</x:v>
      </x:c>
      <x:c r="C35" s="599" t="str">
        <x:v>分析</x:v>
      </x:c>
      <x:c r="D35" s="599" t="str">
        <x:v>执行需求分析</x:v>
      </x:c>
      <x:c r="E35" s="599" t="str">
        <x:v>提取页面、元素、数据、环境、断言和能力需求。</x:v>
      </x:c>
      <x:c r="F35" s="615" t="str">
        <x:v>处理</x:v>
      </x:c>
      <x:c r="G35" s="599" t="str">
        <x:v>AssetVersion、scenario_types</x:v>
      </x:c>
      <x:c r="H35" s="599" t="str">
        <x:v>resource requirements</x:v>
      </x:c>
      <x:c r="I35" s="599" t="str">
        <x:v>场景识别、Prompt/规则</x:v>
      </x:c>
      <x:c r="J35" s="599" t="str">
        <x:v>不得直接生成真实 locator、密码或最终脚本。</x:v>
      </x:c>
      <x:c r="K35" s="615" t="str">
        <x:v>原图</x:v>
      </x:c>
      <x:c r="L35" s="615" t="str">
        <x:v>是</x:v>
      </x:c>
      <x:c r="M35" s="615" t="str">
        <x:v>P0</x:v>
      </x:c>
      <x:c r="N35" s="615" t="str">
        <x:v>是</x:v>
      </x:c>
      <x:c r="O35" s="599" t="str">
        <x:v>输出完整资源需求，缺失信息形成结构化问题。</x:v>
      </x:c>
      <x:c r="P35" s="615" t="str">
        <x:v>未开始</x:v>
      </x:c>
      <x:c r="Q35" s="615" t="str"/>
      <x:c r="R35" s="600" t="str"/>
    </x:row>
    <x:row r="36" ht="34" customHeight="1">
      <x:c r="A36" s="728" t="n">
        <x:v>3</x:v>
      </x:c>
      <x:c r="B36" s="729" t="str">
        <x:v>Asset-to-Case 转换与统一拦截域</x:v>
      </x:c>
      <x:c r="C36" s="420" t="str">
        <x:v>中间模型</x:v>
      </x:c>
      <x:c r="D36" s="420" t="str">
        <x:v>Execution Requirement Manifest</x:v>
      </x:c>
      <x:c r="E36" s="420" t="str">
        <x:v>结构化声明执行所需的资源类型和约束。</x:v>
      </x:c>
      <x:c r="F36" s="661" t="str">
        <x:v>文档/模型</x:v>
      </x:c>
      <x:c r="G36" s="420" t="str">
        <x:v>执行需求分析结果</x:v>
      </x:c>
      <x:c r="H36" s="420" t="str">
        <x:v>versioned Manifest</x:v>
      </x:c>
      <x:c r="I36" s="420" t="str">
        <x:v>Schema管理</x:v>
      </x:c>
      <x:c r="J36" s="420" t="str">
        <x:v>Manifest 只描述需求，不包含绑定后的具体资源。</x:v>
      </x:c>
      <x:c r="K36" s="661" t="str">
        <x:v>原图</x:v>
      </x:c>
      <x:c r="L36" s="661" t="str">
        <x:v>是</x:v>
      </x:c>
      <x:c r="M36" s="661" t="str">
        <x:v>P0</x:v>
      </x:c>
      <x:c r="N36" s="661" t="str">
        <x:v>是</x:v>
      </x:c>
      <x:c r="O36" s="420" t="str">
        <x:v>Manifest 可验证、可持久化、可重放。</x:v>
      </x:c>
      <x:c r="P36" s="661" t="str">
        <x:v>未开始</x:v>
      </x:c>
      <x:c r="Q36" s="661" t="str"/>
      <x:c r="R36" s="421" t="str"/>
    </x:row>
    <x:row r="37" ht="34" customHeight="1">
      <x:c r="A37" s="726" t="n">
        <x:v>3</x:v>
      </x:c>
      <x:c r="B37" s="727" t="str">
        <x:v>Asset-to-Case 转换与统一拦截域</x:v>
      </x:c>
      <x:c r="C37" s="599" t="str">
        <x:v>资源编排</x:v>
      </x:c>
      <x:c r="D37" s="599" t="str">
        <x:v>公共资源编排</x:v>
      </x:c>
      <x:c r="E37" s="599" t="str">
        <x:v>通过资源能力网关解析并绑定实际资源。</x:v>
      </x:c>
      <x:c r="F37" s="615" t="str">
        <x:v>核心枢纽</x:v>
      </x:c>
      <x:c r="G37" s="599" t="str">
        <x:v>Manifest、project/environment context</x:v>
      </x:c>
      <x:c r="H37" s="599" t="str">
        <x:v>ResourceBinding 列表</x:v>
      </x:c>
      <x:c r="I37" s="599" t="str">
        <x:v>资源能力网关</x:v>
      </x:c>
      <x:c r="J37" s="599" t="str">
        <x:v>转换域不得直接访问资源库表。</x:v>
      </x:c>
      <x:c r="K37" s="615" t="str">
        <x:v>原图</x:v>
      </x:c>
      <x:c r="L37" s="615" t="str">
        <x:v>是</x:v>
      </x:c>
      <x:c r="M37" s="615" t="str">
        <x:v>P0</x:v>
      </x:c>
      <x:c r="N37" s="615" t="str">
        <x:v>是</x:v>
      </x:c>
      <x:c r="O37" s="599" t="str">
        <x:v>所有资源返回 resource_id/version/constraints。</x:v>
      </x:c>
      <x:c r="P37" s="615" t="str">
        <x:v>未开始</x:v>
      </x:c>
      <x:c r="Q37" s="615" t="str"/>
      <x:c r="R37" s="600" t="str"/>
    </x:row>
    <x:row r="38" ht="34" customHeight="1">
      <x:c r="A38" s="728" t="n">
        <x:v>3</x:v>
      </x:c>
      <x:c r="B38" s="729" t="str">
        <x:v>Asset-to-Case 转换与统一拦截域</x:v>
      </x:c>
      <x:c r="C38" s="420" t="str">
        <x:v>中间模型</x:v>
      </x:c>
      <x:c r="D38" s="420" t="str">
        <x:v>Bound Execution Plan</x:v>
      </x:c>
      <x:c r="E38" s="420" t="str">
        <x:v>生成完整绑定的 setup/data/environment/steps/assertions/cleanup。</x:v>
      </x:c>
      <x:c r="F38" s="661" t="str">
        <x:v>文档/模型</x:v>
      </x:c>
      <x:c r="G38" s="420" t="str">
        <x:v>Manifest、ResourceBindings</x:v>
      </x:c>
      <x:c r="H38" s="420" t="str">
        <x:v>BoundExecutionPlan</x:v>
      </x:c>
      <x:c r="I38" s="420" t="str">
        <x:v>资源编排、Schema</x:v>
      </x:c>
      <x:c r="J38" s="420" t="str">
        <x:v>这是编译前权威计划，但不是 script_code。</x:v>
      </x:c>
      <x:c r="K38" s="661" t="str">
        <x:v>原图</x:v>
      </x:c>
      <x:c r="L38" s="661" t="str">
        <x:v>是</x:v>
      </x:c>
      <x:c r="M38" s="661" t="str">
        <x:v>P0</x:v>
      </x:c>
      <x:c r="N38" s="661" t="str">
        <x:v>是</x:v>
      </x:c>
      <x:c r="O38" s="420" t="str">
        <x:v>计划包含 runner_type 和资源版本快照。</x:v>
      </x:c>
      <x:c r="P38" s="661" t="str">
        <x:v>未开始</x:v>
      </x:c>
      <x:c r="Q38" s="661" t="str"/>
      <x:c r="R38" s="421" t="str"/>
    </x:row>
    <x:row r="39" ht="34" customHeight="1">
      <x:c r="A39" s="726" t="n">
        <x:v>3</x:v>
      </x:c>
      <x:c r="B39" s="727" t="str">
        <x:v>Asset-to-Case 转换与统一拦截域</x:v>
      </x:c>
      <x:c r="C39" s="599" t="str">
        <x:v>矩阵展开</x:v>
      </x:c>
      <x:c r="D39" s="599" t="str">
        <x:v>测试用例矩阵展开</x:v>
      </x:c>
      <x:c r="E39" s="599" t="str">
        <x:v>按数据、环境、设备、场景组合展开一资产多用例。</x:v>
      </x:c>
      <x:c r="F39" s="615" t="str">
        <x:v>处理</x:v>
      </x:c>
      <x:c r="G39" s="599" t="str">
        <x:v>BoundExecutionPlan、dimension rules</x:v>
      </x:c>
      <x:c r="H39" s="599" t="str">
        <x:v>Plan Variant 列表</x:v>
      </x:c>
      <x:c r="I39" s="599" t="str">
        <x:v>测试数据工厂、环境中心</x:v>
      </x:c>
      <x:c r="J39" s="599" t="str">
        <x:v>必须限制组合爆炸并允许配置上限。</x:v>
      </x:c>
      <x:c r="K39" s="615" t="str">
        <x:v>原图</x:v>
      </x:c>
      <x:c r="L39" s="615" t="str">
        <x:v>否</x:v>
      </x:c>
      <x:c r="M39" s="615" t="str">
        <x:v>P1</x:v>
      </x:c>
      <x:c r="N39" s="615" t="str">
        <x:v>否</x:v>
      </x:c>
      <x:c r="O39" s="599" t="str">
        <x:v>一条资产可生成多条可追踪测试用例。</x:v>
      </x:c>
      <x:c r="P39" s="615" t="str">
        <x:v>未开始</x:v>
      </x:c>
      <x:c r="Q39" s="615" t="str"/>
      <x:c r="R39" s="600" t="str"/>
    </x:row>
    <x:row r="40" ht="34" customHeight="1">
      <x:c r="A40" s="728" t="n">
        <x:v>3</x:v>
      </x:c>
      <x:c r="B40" s="729" t="str">
        <x:v>Asset-to-Case 转换与统一拦截域</x:v>
      </x:c>
      <x:c r="C40" s="420" t="str">
        <x:v>质量门</x:v>
      </x:c>
      <x:c r="D40" s="420" t="str">
        <x:v>统一转换质量门</x:v>
      </x:c>
      <x:c r="E40" s="420" t="str">
        <x:v>集中执行资产、资源、环境、执行完整性和治理规则。</x:v>
      </x:c>
      <x:c r="F40" s="661" t="str">
        <x:v>核心枢纽</x:v>
      </x:c>
      <x:c r="G40" s="420" t="str">
        <x:v>BoundExecutionPlan、Policy</x:v>
      </x:c>
      <x:c r="H40" s="420" t="str">
        <x:v>pass/block、ConversionError</x:v>
      </x:c>
      <x:c r="I40" s="420" t="str">
        <x:v>规则策略中心</x:v>
      </x:c>
      <x:c r="J40" s="420" t="str">
        <x:v>所有执行相关拦截只允许在此或其规则插件发生。</x:v>
      </x:c>
      <x:c r="K40" s="661" t="str">
        <x:v>原图</x:v>
      </x:c>
      <x:c r="L40" s="661" t="str">
        <x:v>是</x:v>
      </x:c>
      <x:c r="M40" s="661" t="str">
        <x:v>P0</x:v>
      </x:c>
      <x:c r="N40" s="661" t="str">
        <x:v>是</x:v>
      </x:c>
      <x:c r="O40" s="420" t="str">
        <x:v>阻断时不创建 TestCase，并返回可修复错误。</x:v>
      </x:c>
      <x:c r="P40" s="661" t="str">
        <x:v>未开始</x:v>
      </x:c>
      <x:c r="Q40" s="661" t="str"/>
      <x:c r="R40" s="421" t="str"/>
    </x:row>
    <x:row r="41" ht="34" customHeight="1">
      <x:c r="A41" s="726" t="n">
        <x:v>3</x:v>
      </x:c>
      <x:c r="B41" s="727" t="str">
        <x:v>Asset-to-Case 转换与统一拦截域</x:v>
      </x:c>
      <x:c r="C41" s="599" t="str">
        <x:v>错误模型</x:v>
      </x:c>
      <x:c r="D41" s="599" t="str">
        <x:v>结构化转换错误</x:v>
      </x:c>
      <x:c r="E41" s="599" t="str">
        <x:v>统一错误码、阶段、步骤、资源、候选项和修复建议。</x:v>
      </x:c>
      <x:c r="F41" s="615" t="str">
        <x:v>补充模型</x:v>
      </x:c>
      <x:c r="G41" s="599" t="str">
        <x:v>各转换阶段异常</x:v>
      </x:c>
      <x:c r="H41" s="599" t="str">
        <x:v>ConversionError</x:v>
      </x:c>
      <x:c r="I41" s="599" t="str">
        <x:v>ConversionAttempt、前端</x:v>
      </x:c>
      <x:c r="J41" s="599" t="str">
        <x:v>禁止只返回不可定位字符串。</x:v>
      </x:c>
      <x:c r="K41" s="615" t="str">
        <x:v>补充</x:v>
      </x:c>
      <x:c r="L41" s="615" t="str">
        <x:v>是</x:v>
      </x:c>
      <x:c r="M41" s="615" t="str">
        <x:v>P0</x:v>
      </x:c>
      <x:c r="N41" s="615" t="str">
        <x:v>是</x:v>
      </x:c>
      <x:c r="O41" s="599" t="str">
        <x:v>前端可直接定位到问题步骤或缺失资源。</x:v>
      </x:c>
      <x:c r="P41" s="615" t="str">
        <x:v>未开始</x:v>
      </x:c>
      <x:c r="Q41" s="615" t="str"/>
      <x:c r="R41" s="600" t="str"/>
    </x:row>
    <x:row r="42" ht="34" customHeight="1">
      <x:c r="A42" s="728" t="n">
        <x:v>3</x:v>
      </x:c>
      <x:c r="B42" s="729" t="str">
        <x:v>Asset-to-Case 转换与统一拦截域</x:v>
      </x:c>
      <x:c r="C42" s="420" t="str">
        <x:v>路由</x:v>
      </x:c>
      <x:c r="D42" s="420" t="str">
        <x:v>Compiler Router</x:v>
      </x:c>
      <x:c r="E42" s="420" t="str">
        <x:v>根据 runner_type 和能力选择正确编译器。</x:v>
      </x:c>
      <x:c r="F42" s="661" t="str">
        <x:v>路由</x:v>
      </x:c>
      <x:c r="G42" s="420" t="str">
        <x:v>BoundExecutionPlan</x:v>
      </x:c>
      <x:c r="H42" s="420" t="str">
        <x:v>compiler selection</x:v>
      </x:c>
      <x:c r="I42" s="420" t="str">
        <x:v>Compiler Registry</x:v>
      </x:c>
      <x:c r="J42" s="420" t="str">
        <x:v>V1只允许明确支持的编译器，未知类型阻断。</x:v>
      </x:c>
      <x:c r="K42" s="661" t="str">
        <x:v>原图</x:v>
      </x:c>
      <x:c r="L42" s="661" t="str">
        <x:v>是</x:v>
      </x:c>
      <x:c r="M42" s="661" t="str">
        <x:v>P0</x:v>
      </x:c>
      <x:c r="N42" s="661" t="str">
        <x:v>是</x:v>
      </x:c>
      <x:c r="O42" s="420" t="str">
        <x:v>不同场景不再强行进入同一 DSL。</x:v>
      </x:c>
      <x:c r="P42" s="661" t="str">
        <x:v>未开始</x:v>
      </x:c>
      <x:c r="Q42" s="661" t="str"/>
      <x:c r="R42" s="421" t="str"/>
    </x:row>
    <x:row r="43" ht="34" customHeight="1">
      <x:c r="A43" s="726" t="n">
        <x:v>3</x:v>
      </x:c>
      <x:c r="B43" s="727" t="str">
        <x:v>Asset-to-Case 转换与统一拦截域</x:v>
      </x:c>
      <x:c r="C43" s="599" t="str">
        <x:v>生成</x:v>
      </x:c>
      <x:c r="D43" s="599" t="str">
        <x:v>测试用例生成与版本服务</x:v>
      </x:c>
      <x:c r="E43" s="599" t="str">
        <x:v>编译成功后事务化创建 TestCase/TestCaseVersion。</x:v>
      </x:c>
      <x:c r="F43" s="615" t="str">
        <x:v>服务</x:v>
      </x:c>
      <x:c r="G43" s="599" t="str">
        <x:v>编译结果、资源快照</x:v>
      </x:c>
      <x:c r="H43" s="599" t="str">
        <x:v>test_case、script_code</x:v>
      </x:c>
      <x:c r="I43" s="599" t="str">
        <x:v>数据库、版本管理</x:v>
      </x:c>
      <x:c r="J43" s="599" t="str">
        <x:v>只有质量门和编译都通过才写入。</x:v>
      </x:c>
      <x:c r="K43" s="615" t="str">
        <x:v>原图</x:v>
      </x:c>
      <x:c r="L43" s="615" t="str">
        <x:v>是</x:v>
      </x:c>
      <x:c r="M43" s="615" t="str">
        <x:v>P0</x:v>
      </x:c>
      <x:c r="N43" s="615" t="str">
        <x:v>是</x:v>
      </x:c>
      <x:c r="O43" s="599" t="str">
        <x:v>script_code 只由编译器产生并成为执行事实源。</x:v>
      </x:c>
      <x:c r="P43" s="615" t="str">
        <x:v>未开始</x:v>
      </x:c>
      <x:c r="Q43" s="615" t="str"/>
      <x:c r="R43" s="600" t="str"/>
    </x:row>
    <x:row r="44" ht="34" customHeight="1">
      <x:c r="A44" s="728" t="n">
        <x:v>3</x:v>
      </x:c>
      <x:c r="B44" s="729" t="str">
        <x:v>Asset-to-Case 转换与统一拦截域</x:v>
      </x:c>
      <x:c r="C44" s="420" t="str">
        <x:v>恢复</x:v>
      </x:c>
      <x:c r="D44" s="420" t="str">
        <x:v>转换重试与重放</x:v>
      </x:c>
      <x:c r="E44" s="420" t="str">
        <x:v>支持修复资产或资源后重新转换。</x:v>
      </x:c>
      <x:c r="F44" s="661" t="str">
        <x:v>补充服务</x:v>
      </x:c>
      <x:c r="G44" s="420" t="str">
        <x:v>blocked attempt、最新资产/资源</x:v>
      </x:c>
      <x:c r="H44" s="420" t="str">
        <x:v>new ConversionAttempt</x:v>
      </x:c>
      <x:c r="I44" s="420" t="str">
        <x:v>ConversionAttempt、缓存</x:v>
      </x:c>
      <x:c r="J44" s="420" t="str">
        <x:v>不得覆盖历史失败；可复用未变化分析但必须重新校验。</x:v>
      </x:c>
      <x:c r="K44" s="661" t="str">
        <x:v>补充</x:v>
      </x:c>
      <x:c r="L44" s="661" t="str">
        <x:v>否</x:v>
      </x:c>
      <x:c r="M44" s="661" t="str">
        <x:v>P1</x:v>
      </x:c>
      <x:c r="N44" s="661" t="str">
        <x:v>否</x:v>
      </x:c>
      <x:c r="O44" s="420" t="str">
        <x:v>用户可看到每次尝试和差异。</x:v>
      </x:c>
      <x:c r="P44" s="661" t="str">
        <x:v>未开始</x:v>
      </x:c>
      <x:c r="Q44" s="661" t="str"/>
      <x:c r="R44" s="421" t="str"/>
    </x:row>
    <x:row r="45" ht="34" customHeight="1">
      <x:c r="A45" s="726" t="n">
        <x:v>3</x:v>
      </x:c>
      <x:c r="B45" s="727" t="str">
        <x:v>Asset-to-Case 转换与统一拦截域</x:v>
      </x:c>
      <x:c r="C45" s="599" t="str">
        <x:v>可观测性</x:v>
      </x:c>
      <x:c r="D45" s="599" t="str">
        <x:v>转换指标与追踪</x:v>
      </x:c>
      <x:c r="E45" s="599" t="str">
        <x:v>统计阶段耗时、失败率、资源缺失和规则命中。</x:v>
      </x:c>
      <x:c r="F45" s="615" t="str">
        <x:v>补充运维</x:v>
      </x:c>
      <x:c r="G45" s="599" t="str">
        <x:v>attempt_id、stage events</x:v>
      </x:c>
      <x:c r="H45" s="599" t="str">
        <x:v>Metrics、Dashboard</x:v>
      </x:c>
      <x:c r="I45" s="599" t="str">
        <x:v>可观测性、审计</x:v>
      </x:c>
      <x:c r="J45" s="599" t="str">
        <x:v>敏感资源只记录引用。</x:v>
      </x:c>
      <x:c r="K45" s="615" t="str">
        <x:v>补充</x:v>
      </x:c>
      <x:c r="L45" s="615" t="str">
        <x:v>是</x:v>
      </x:c>
      <x:c r="M45" s="615" t="str">
        <x:v>P1</x:v>
      </x:c>
      <x:c r="N45" s="615" t="str">
        <x:v>否</x:v>
      </x:c>
      <x:c r="O45" s="599" t="str">
        <x:v>能定位最常见的转换阻塞原因。</x:v>
      </x:c>
      <x:c r="P45" s="615" t="str">
        <x:v>未开始</x:v>
      </x:c>
      <x:c r="Q45" s="615" t="str"/>
      <x:c r="R45" s="600" t="str"/>
    </x:row>
    <x:row r="46" ht="34" customHeight="1">
      <x:c r="A46" s="730" t="n">
        <x:v>4</x:v>
      </x:c>
      <x:c r="B46" s="731" t="str">
        <x:v>公共资源与能力域</x:v>
      </x:c>
      <x:c r="C46" s="599" t="str">
        <x:v>网关</x:v>
      </x:c>
      <x:c r="D46" s="599" t="str">
        <x:v>资源能力网关</x:v>
      </x:c>
      <x:c r="E46" s="599" t="str">
        <x:v>统一资源查询、权限检查、能力发现和版本化绑定。</x:v>
      </x:c>
      <x:c r="F46" s="615" t="str">
        <x:v>核心枢纽</x:v>
      </x:c>
      <x:c r="G46" s="599" t="str">
        <x:v>ResourceRequest</x:v>
      </x:c>
      <x:c r="H46" s="599" t="str">
        <x:v>ResourceBinding / ResourceError</x:v>
      </x:c>
      <x:c r="I46" s="599" t="str">
        <x:v>各资源中心、权限、缓存</x:v>
      </x:c>
      <x:c r="J46" s="599" t="str">
        <x:v>是转换域访问公共资源的唯一入口。</x:v>
      </x:c>
      <x:c r="K46" s="615" t="str">
        <x:v>原图</x:v>
      </x:c>
      <x:c r="L46" s="615" t="str">
        <x:v>是</x:v>
      </x:c>
      <x:c r="M46" s="615" t="str">
        <x:v>P0</x:v>
      </x:c>
      <x:c r="N46" s="615" t="str">
        <x:v>是</x:v>
      </x:c>
      <x:c r="O46" s="599" t="str">
        <x:v>转换域无需了解资源内部存储实现。</x:v>
      </x:c>
      <x:c r="P46" s="615" t="str">
        <x:v>未开始</x:v>
      </x:c>
      <x:c r="Q46" s="615" t="str"/>
      <x:c r="R46" s="600" t="str"/>
    </x:row>
    <x:row r="47" ht="34" customHeight="1">
      <x:c r="A47" s="732" t="n">
        <x:v>4</x:v>
      </x:c>
      <x:c r="B47" s="733" t="str">
        <x:v>公共资源与能力域</x:v>
      </x:c>
      <x:c r="C47" s="426" t="str">
        <x:v>资源治理</x:v>
      </x:c>
      <x:c r="D47" s="426" t="str">
        <x:v>资源元数据与版本注册</x:v>
      </x:c>
      <x:c r="E47" s="426" t="str">
        <x:v>统一记录资源类型、ID、版本、状态和能力元数据。</x:v>
      </x:c>
      <x:c r="F47" s="676" t="str">
        <x:v>补充治理</x:v>
      </x:c>
      <x:c r="G47" s="426" t="str">
        <x:v>资源发布信息</x:v>
      </x:c>
      <x:c r="H47" s="426" t="str">
        <x:v>ResourceDescriptor</x:v>
      </x:c>
      <x:c r="I47" s="426" t="str">
        <x:v>版本管理、事件总线</x:v>
      </x:c>
      <x:c r="J47" s="426" t="str">
        <x:v>所有可绑定资源必须版本化。</x:v>
      </x:c>
      <x:c r="K47" s="676" t="str">
        <x:v>补充</x:v>
      </x:c>
      <x:c r="L47" s="676" t="str">
        <x:v>是</x:v>
      </x:c>
      <x:c r="M47" s="676" t="str">
        <x:v>P0</x:v>
      </x:c>
      <x:c r="N47" s="676" t="str">
        <x:v>是</x:v>
      </x:c>
      <x:c r="O47" s="426" t="str">
        <x:v>网关返回资源时始终包含版本。</x:v>
      </x:c>
      <x:c r="P47" s="676" t="str">
        <x:v>未开始</x:v>
      </x:c>
      <x:c r="Q47" s="676" t="str"/>
      <x:c r="R47" s="427" t="str"/>
    </x:row>
    <x:row r="48" ht="34" customHeight="1">
      <x:c r="A48" s="730" t="n">
        <x:v>4</x:v>
      </x:c>
      <x:c r="B48" s="731" t="str">
        <x:v>公共资源与能力域</x:v>
      </x:c>
      <x:c r="C48" s="599" t="str">
        <x:v>页面对象</x:v>
      </x:c>
      <x:c r="D48" s="599" t="str">
        <x:v>页面对象中心</x:v>
      </x:c>
      <x:c r="E48" s="599" t="str">
        <x:v>管理页面、元素、别名、定位器、动作和页面版本。</x:v>
      </x:c>
      <x:c r="F48" s="615" t="str">
        <x:v>资源库</x:v>
      </x:c>
      <x:c r="G48" s="599" t="str">
        <x:v>Page/PageVersion/Element</x:v>
      </x:c>
      <x:c r="H48" s="599" t="str">
        <x:v>page/element bindings</x:v>
      </x:c>
      <x:c r="I48" s="599" t="str">
        <x:v>项目作用域、版本管理</x:v>
      </x:c>
      <x:c r="J48" s="599" t="str">
        <x:v>target 必须来自页面对象中心，AI不得编造。</x:v>
      </x:c>
      <x:c r="K48" s="615" t="str">
        <x:v>原图</x:v>
      </x:c>
      <x:c r="L48" s="615" t="str">
        <x:v>是</x:v>
      </x:c>
      <x:c r="M48" s="615" t="str">
        <x:v>P0</x:v>
      </x:c>
      <x:c r="N48" s="615" t="str">
        <x:v>是</x:v>
      </x:c>
      <x:c r="O48" s="599" t="str">
        <x:v>元素可唯一匹配并声明 supported_actions。</x:v>
      </x:c>
      <x:c r="P48" s="615" t="str">
        <x:v>未开始</x:v>
      </x:c>
      <x:c r="Q48" s="615" t="str"/>
      <x:c r="R48" s="600" t="str"/>
    </x:row>
    <x:row r="49" ht="34" customHeight="1">
      <x:c r="A49" s="732" t="n">
        <x:v>4</x:v>
      </x:c>
      <x:c r="B49" s="733" t="str">
        <x:v>公共资源与能力域</x:v>
      </x:c>
      <x:c r="C49" s="426" t="str">
        <x:v>测试数据</x:v>
      </x:c>
      <x:c r="D49" s="426" t="str">
        <x:v>测试数据工厂</x:v>
      </x:c>
      <x:c r="E49" s="426" t="str">
        <x:v>管理固定数据、动态生成、约束、setup 和 cleanup。</x:v>
      </x:c>
      <x:c r="F49" s="676" t="str">
        <x:v>资源库</x:v>
      </x:c>
      <x:c r="G49" s="426" t="str">
        <x:v>data requirement</x:v>
      </x:c>
      <x:c r="H49" s="426" t="str">
        <x:v>data_ref、generator_ref、cleanup plan</x:v>
      </x:c>
      <x:c r="I49" s="426" t="str">
        <x:v>凭证中心、环境中心</x:v>
      </x:c>
      <x:c r="J49" s="426" t="str">
        <x:v>敏感值只返回引用，不能写入 script_code。</x:v>
      </x:c>
      <x:c r="K49" s="676" t="str">
        <x:v>原图</x:v>
      </x:c>
      <x:c r="L49" s="676" t="str">
        <x:v>是</x:v>
      </x:c>
      <x:c r="M49" s="676" t="str">
        <x:v>P0</x:v>
      </x:c>
      <x:c r="N49" s="676" t="str">
        <x:v>是</x:v>
      </x:c>
      <x:c r="O49" s="426" t="str">
        <x:v>V1可提供固定数据和简单动态数据引用。</x:v>
      </x:c>
      <x:c r="P49" s="676" t="str">
        <x:v>未开始</x:v>
      </x:c>
      <x:c r="Q49" s="676" t="str"/>
      <x:c r="R49" s="427" t="str"/>
    </x:row>
    <x:row r="50" ht="34" customHeight="1">
      <x:c r="A50" s="730" t="n">
        <x:v>4</x:v>
      </x:c>
      <x:c r="B50" s="731" t="str">
        <x:v>公共资源与能力域</x:v>
      </x:c>
      <x:c r="C50" s="599" t="str">
        <x:v>环境</x:v>
      </x:c>
      <x:c r="D50" s="599" t="str">
        <x:v>环境中心</x:v>
      </x:c>
      <x:c r="E50" s="599" t="str">
        <x:v>管理 Base URL、服务地址、环境类型、浏览器设备和能力白名单。</x:v>
      </x:c>
      <x:c r="F50" s="615" t="str">
        <x:v>资源库</x:v>
      </x:c>
      <x:c r="G50" s="599" t="str">
        <x:v>project/environment selection</x:v>
      </x:c>
      <x:c r="H50" s="599" t="str">
        <x:v>environment binding</x:v>
      </x:c>
      <x:c r="I50" s="599" t="str">
        <x:v>配置中心、凭证中心</x:v>
      </x:c>
      <x:c r="J50" s="599" t="str">
        <x:v>转换和执行都必须绑定明确 environment_id。</x:v>
      </x:c>
      <x:c r="K50" s="615" t="str">
        <x:v>原图</x:v>
      </x:c>
      <x:c r="L50" s="615" t="str">
        <x:v>是</x:v>
      </x:c>
      <x:c r="M50" s="615" t="str">
        <x:v>P0</x:v>
      </x:c>
      <x:c r="N50" s="615" t="str">
        <x:v>是</x:v>
      </x:c>
      <x:c r="O50" s="599" t="str">
        <x:v>禁止隐式默认环境。</x:v>
      </x:c>
      <x:c r="P50" s="615" t="str">
        <x:v>未开始</x:v>
      </x:c>
      <x:c r="Q50" s="615" t="str"/>
      <x:c r="R50" s="600" t="str"/>
    </x:row>
    <x:row r="51" ht="34" customHeight="1">
      <x:c r="A51" s="732" t="n">
        <x:v>4</x:v>
      </x:c>
      <x:c r="B51" s="733" t="str">
        <x:v>公共资源与能力域</x:v>
      </x:c>
      <x:c r="C51" s="426" t="str">
        <x:v>凭证</x:v>
      </x:c>
      <x:c r="D51" s="426" t="str">
        <x:v>凭证与密钥中心</x:v>
      </x:c>
      <x:c r="E51" s="426" t="str">
        <x:v>安全管理账号、Token、密钥和运行时注入。</x:v>
      </x:c>
      <x:c r="F51" s="676" t="str">
        <x:v>资源库</x:v>
      </x:c>
      <x:c r="G51" s="426" t="str">
        <x:v>credential request</x:v>
      </x:c>
      <x:c r="H51" s="426" t="str">
        <x:v>credential_ref</x:v>
      </x:c>
      <x:c r="I51" s="426" t="str">
        <x:v>Vault/KMS、审计</x:v>
      </x:c>
      <x:c r="J51" s="426" t="str">
        <x:v>应用、数据库和脚本不得持久化敏感明文。</x:v>
      </x:c>
      <x:c r="K51" s="676" t="str">
        <x:v>原图</x:v>
      </x:c>
      <x:c r="L51" s="676" t="str">
        <x:v>是</x:v>
      </x:c>
      <x:c r="M51" s="676" t="str">
        <x:v>P0</x:v>
      </x:c>
      <x:c r="N51" s="676" t="str">
        <x:v>是</x:v>
      </x:c>
      <x:c r="O51" s="426" t="str">
        <x:v>Runner仅在运行时解析引用。</x:v>
      </x:c>
      <x:c r="P51" s="676" t="str">
        <x:v>未开始</x:v>
      </x:c>
      <x:c r="Q51" s="676" t="str"/>
      <x:c r="R51" s="427" t="str"/>
    </x:row>
    <x:row r="52" ht="34" customHeight="1">
      <x:c r="A52" s="730" t="n">
        <x:v>4</x:v>
      </x:c>
      <x:c r="B52" s="731" t="str">
        <x:v>公共资源与能力域</x:v>
      </x:c>
      <x:c r="C52" s="599" t="str">
        <x:v>Mock</x:v>
      </x:c>
      <x:c r="D52" s="599" t="str">
        <x:v>Mock 服务中心</x:v>
      </x:c>
      <x:c r="E52" s="599" t="str">
        <x:v>管理 Stub、响应模板、场景切换和版本。</x:v>
      </x:c>
      <x:c r="F52" s="615" t="str">
        <x:v>资源库</x:v>
      </x:c>
      <x:c r="G52" s="599" t="str">
        <x:v>Mock requirement</x:v>
      </x:c>
      <x:c r="H52" s="599" t="str">
        <x:v>mock_profile_ref</x:v>
      </x:c>
      <x:c r="I52" s="599" t="str">
        <x:v>环境中心、执行控制</x:v>
      </x:c>
      <x:c r="J52" s="599" t="str">
        <x:v>必须包含启动、停止、恢复和清理。</x:v>
      </x:c>
      <x:c r="K52" s="615" t="str">
        <x:v>原图</x:v>
      </x:c>
      <x:c r="L52" s="615" t="str">
        <x:v>否</x:v>
      </x:c>
      <x:c r="M52" s="615" t="str">
        <x:v>P2</x:v>
      </x:c>
      <x:c r="N52" s="615" t="str">
        <x:v>否</x:v>
      </x:c>
      <x:c r="O52" s="599" t="str">
        <x:v>Mock配置可版本化并按环境绑定。</x:v>
      </x:c>
      <x:c r="P52" s="615" t="str">
        <x:v>未开始</x:v>
      </x:c>
      <x:c r="Q52" s="615" t="str"/>
      <x:c r="R52" s="600" t="str"/>
    </x:row>
    <x:row r="53" ht="34" customHeight="1">
      <x:c r="A53" s="732" t="n">
        <x:v>4</x:v>
      </x:c>
      <x:c r="B53" s="733" t="str">
        <x:v>公共资源与能力域</x:v>
      </x:c>
      <x:c r="C53" s="426" t="str">
        <x:v>异常</x:v>
      </x:c>
      <x:c r="D53" s="426" t="str">
        <x:v>异常能力中心</x:v>
      </x:c>
      <x:c r="E53" s="426" t="str">
        <x:v>提供断网、弱网、延迟、丢包、超时和故障恢复能力。</x:v>
      </x:c>
      <x:c r="F53" s="676" t="str">
        <x:v>资源库</x:v>
      </x:c>
      <x:c r="G53" s="426" t="str">
        <x:v>fault requirement</x:v>
      </x:c>
      <x:c r="H53" s="426" t="str">
        <x:v>fault_profile_ref、cleanup actions</x:v>
      </x:c>
      <x:c r="I53" s="426" t="str">
        <x:v>环境中心、执行控制</x:v>
      </x:c>
      <x:c r="J53" s="426" t="str">
        <x:v>所有故障能力必须定义 restore/cleanup 和允许环境。</x:v>
      </x:c>
      <x:c r="K53" s="676" t="str">
        <x:v>原图</x:v>
      </x:c>
      <x:c r="L53" s="676" t="str">
        <x:v>否</x:v>
      </x:c>
      <x:c r="M53" s="676" t="str">
        <x:v>P1</x:v>
      </x:c>
      <x:c r="N53" s="676" t="str">
        <x:v>否</x:v>
      </x:c>
      <x:c r="O53" s="426" t="str">
        <x:v>能力可安全注入并确认恢复。</x:v>
      </x:c>
      <x:c r="P53" s="676" t="str">
        <x:v>未开始</x:v>
      </x:c>
      <x:c r="Q53" s="676" t="str"/>
      <x:c r="R53" s="427" t="str"/>
    </x:row>
    <x:row r="54" ht="34" customHeight="1">
      <x:c r="A54" s="730" t="n">
        <x:v>4</x:v>
      </x:c>
      <x:c r="B54" s="731" t="str">
        <x:v>公共资源与能力域</x:v>
      </x:c>
      <x:c r="C54" s="599" t="str">
        <x:v>安全</x:v>
      </x:c>
      <x:c r="D54" s="599" t="str">
        <x:v>安全能力中心</x:v>
      </x:c>
      <x:c r="E54" s="599" t="str">
        <x:v>提供受治理的 Payload、权限模型、Token 场景和安全策略。</x:v>
      </x:c>
      <x:c r="F54" s="615" t="str">
        <x:v>资源库</x:v>
      </x:c>
      <x:c r="G54" s="599" t="str">
        <x:v>security requirement</x:v>
      </x:c>
      <x:c r="H54" s="599" t="str">
        <x:v>security_policy_ref</x:v>
      </x:c>
      <x:c r="I54" s="599" t="str">
        <x:v>策略中心、凭证中心</x:v>
      </x:c>
      <x:c r="J54" s="599" t="str">
        <x:v>危险能力需环境限制和审批，AI不能自由生成危险Payload。</x:v>
      </x:c>
      <x:c r="K54" s="615" t="str">
        <x:v>原图</x:v>
      </x:c>
      <x:c r="L54" s="615" t="str">
        <x:v>否</x:v>
      </x:c>
      <x:c r="M54" s="615" t="str">
        <x:v>P1</x:v>
      </x:c>
      <x:c r="N54" s="615" t="str">
        <x:v>否</x:v>
      </x:c>
      <x:c r="O54" s="599" t="str">
        <x:v>安全资源有版本、审批和环境白名单。</x:v>
      </x:c>
      <x:c r="P54" s="615" t="str">
        <x:v>未开始</x:v>
      </x:c>
      <x:c r="Q54" s="615" t="str"/>
      <x:c r="R54" s="600" t="str"/>
    </x:row>
    <x:row r="55" ht="34" customHeight="1">
      <x:c r="A55" s="732" t="n">
        <x:v>4</x:v>
      </x:c>
      <x:c r="B55" s="733" t="str">
        <x:v>公共资源与能力域</x:v>
      </x:c>
      <x:c r="C55" s="426" t="str">
        <x:v>性能</x:v>
      </x:c>
      <x:c r="D55" s="426" t="str">
        <x:v>性能能力中心</x:v>
      </x:c>
      <x:c r="E55" s="426" t="str">
        <x:v>管理负载模型、并发、持续时间、阈值和性能执行器配置。</x:v>
      </x:c>
      <x:c r="F55" s="676" t="str">
        <x:v>资源库</x:v>
      </x:c>
      <x:c r="G55" s="426" t="str">
        <x:v>performance requirement</x:v>
      </x:c>
      <x:c r="H55" s="426" t="str">
        <x:v>load_profile_ref、thresholds</x:v>
      </x:c>
      <x:c r="I55" s="426" t="str">
        <x:v>环境中心、Runner Registry</x:v>
      </x:c>
      <x:c r="J55" s="426" t="str">
        <x:v>性能场景不能强行编译为普通 UI DSL。</x:v>
      </x:c>
      <x:c r="K55" s="676" t="str">
        <x:v>原图</x:v>
      </x:c>
      <x:c r="L55" s="676" t="str">
        <x:v>否</x:v>
      </x:c>
      <x:c r="M55" s="676" t="str">
        <x:v>P1</x:v>
      </x:c>
      <x:c r="N55" s="676" t="str">
        <x:v>否</x:v>
      </x:c>
      <x:c r="O55" s="426" t="str">
        <x:v>可路由到独立性能执行器。</x:v>
      </x:c>
      <x:c r="P55" s="676" t="str">
        <x:v>未开始</x:v>
      </x:c>
      <x:c r="Q55" s="676" t="str"/>
      <x:c r="R55" s="427" t="str"/>
    </x:row>
    <x:row r="56" ht="34" customHeight="1">
      <x:c r="A56" s="730" t="n">
        <x:v>4</x:v>
      </x:c>
      <x:c r="B56" s="731" t="str">
        <x:v>公共资源与能力域</x:v>
      </x:c>
      <x:c r="C56" s="599" t="str">
        <x:v>原子能力</x:v>
      </x:c>
      <x:c r="D56" s="599" t="str">
        <x:v>原子能力注册中心</x:v>
      </x:c>
      <x:c r="E56" s="599" t="str">
        <x:v>注册可复用动作、断言、Hook 和Runner支持信息。</x:v>
      </x:c>
      <x:c r="F56" s="615" t="str">
        <x:v>资源库</x:v>
      </x:c>
      <x:c r="G56" s="599" t="str">
        <x:v>capability package</x:v>
      </x:c>
      <x:c r="H56" s="599" t="str">
        <x:v>capability descriptor</x:v>
      </x:c>
      <x:c r="I56" s="599" t="str">
        <x:v>Compiler/Runner Registry</x:v>
      </x:c>
      <x:c r="J56" s="599" t="str">
        <x:v>能力 code 和版本必须唯一；避免和DSL重复定义。</x:v>
      </x:c>
      <x:c r="K56" s="615" t="str">
        <x:v>原图</x:v>
      </x:c>
      <x:c r="L56" s="615" t="str">
        <x:v>是</x:v>
      </x:c>
      <x:c r="M56" s="615" t="str">
        <x:v>P1</x:v>
      </x:c>
      <x:c r="N56" s="615" t="str">
        <x:v>否</x:v>
      </x:c>
      <x:c r="O56" s="599" t="str">
        <x:v>转换时可查询可用动作和断言。</x:v>
      </x:c>
      <x:c r="P56" s="615" t="str">
        <x:v>未开始</x:v>
      </x:c>
      <x:c r="Q56" s="615" t="str"/>
      <x:c r="R56" s="600" t="str"/>
    </x:row>
    <x:row r="57" ht="34" customHeight="1">
      <x:c r="A57" s="732" t="n">
        <x:v>4</x:v>
      </x:c>
      <x:c r="B57" s="733" t="str">
        <x:v>公共资源与能力域</x:v>
      </x:c>
      <x:c r="C57" s="426" t="str">
        <x:v>策略</x:v>
      </x:c>
      <x:c r="D57" s="426" t="str">
        <x:v>规则与治理策略中心</x:v>
      </x:c>
      <x:c r="E57" s="426" t="str">
        <x:v>统一管理环境限制、审批、安全和质量规则。</x:v>
      </x:c>
      <x:c r="F57" s="676" t="str">
        <x:v>策略中心</x:v>
      </x:c>
      <x:c r="G57" s="426" t="str">
        <x:v>Policy、项目/环境上下文</x:v>
      </x:c>
      <x:c r="H57" s="426" t="str">
        <x:v>policy evaluation</x:v>
      </x:c>
      <x:c r="I57" s="426" t="str">
        <x:v>版本管理、审计</x:v>
      </x:c>
      <x:c r="J57" s="426" t="str">
        <x:v>策略必须版本化并进入 TestCase 资源快照。</x:v>
      </x:c>
      <x:c r="K57" s="676" t="str">
        <x:v>原图</x:v>
      </x:c>
      <x:c r="L57" s="676" t="str">
        <x:v>是</x:v>
      </x:c>
      <x:c r="M57" s="676" t="str">
        <x:v>P1</x:v>
      </x:c>
      <x:c r="N57" s="676" t="str">
        <x:v>否</x:v>
      </x:c>
      <x:c r="O57" s="426" t="str">
        <x:v>质量门可解释地输出命中规则。</x:v>
      </x:c>
      <x:c r="P57" s="676" t="str">
        <x:v>未开始</x:v>
      </x:c>
      <x:c r="Q57" s="676" t="str"/>
      <x:c r="R57" s="427" t="str"/>
    </x:row>
    <x:row r="58" ht="34" customHeight="1">
      <x:c r="A58" s="730" t="n">
        <x:v>4</x:v>
      </x:c>
      <x:c r="B58" s="731" t="str">
        <x:v>公共资源与能力域</x:v>
      </x:c>
      <x:c r="C58" s="599" t="str">
        <x:v>兼容性</x:v>
      </x:c>
      <x:c r="D58" s="599" t="str">
        <x:v>资源兼容性检查器</x:v>
      </x:c>
      <x:c r="E58" s="599" t="str">
        <x:v>检查资源、环境、Runner 和能力组合是否兼容。</x:v>
      </x:c>
      <x:c r="F58" s="615" t="str">
        <x:v>补充规则</x:v>
      </x:c>
      <x:c r="G58" s="599" t="str">
        <x:v>ResourceBindings、runner_type</x:v>
      </x:c>
      <x:c r="H58" s="599" t="str">
        <x:v>compatibility result</x:v>
      </x:c>
      <x:c r="I58" s="599" t="str">
        <x:v>策略中心、资源元数据</x:v>
      </x:c>
      <x:c r="J58" s="599" t="str">
        <x:v>绑定阶段尽早失败，避免运行时才发现冲突。</x:v>
      </x:c>
      <x:c r="K58" s="615" t="str">
        <x:v>补充</x:v>
      </x:c>
      <x:c r="L58" s="615" t="str">
        <x:v>是</x:v>
      </x:c>
      <x:c r="M58" s="615" t="str">
        <x:v>P1</x:v>
      </x:c>
      <x:c r="N58" s="615" t="str">
        <x:v>否</x:v>
      </x:c>
      <x:c r="O58" s="599" t="str">
        <x:v>不兼容组合返回结构化错误。</x:v>
      </x:c>
      <x:c r="P58" s="615" t="str">
        <x:v>未开始</x:v>
      </x:c>
      <x:c r="Q58" s="615" t="str"/>
      <x:c r="R58" s="600" t="str"/>
    </x:row>
    <x:row r="59" ht="34" customHeight="1">
      <x:c r="A59" s="732" t="n">
        <x:v>4</x:v>
      </x:c>
      <x:c r="B59" s="733" t="str">
        <x:v>公共资源与能力域</x:v>
      </x:c>
      <x:c r="C59" s="426" t="str">
        <x:v>健康</x:v>
      </x:c>
      <x:c r="D59" s="426" t="str">
        <x:v>资源健康与可用性</x:v>
      </x:c>
      <x:c r="E59" s="426" t="str">
        <x:v>监测页面对象、数据服务、环境和能力服务的可用状态。</x:v>
      </x:c>
      <x:c r="F59" s="676" t="str">
        <x:v>补充运维</x:v>
      </x:c>
      <x:c r="G59" s="426" t="str">
        <x:v>health probes</x:v>
      </x:c>
      <x:c r="H59" s="426" t="str">
        <x:v>resource_health</x:v>
      </x:c>
      <x:c r="I59" s="426" t="str">
        <x:v>监控、网关</x:v>
      </x:c>
      <x:c r="J59" s="426" t="str">
        <x:v>健康状态影响转换，但不能删除测试资产。</x:v>
      </x:c>
      <x:c r="K59" s="676" t="str">
        <x:v>补充</x:v>
      </x:c>
      <x:c r="L59" s="676" t="str">
        <x:v>否</x:v>
      </x:c>
      <x:c r="M59" s="676" t="str">
        <x:v>P1</x:v>
      </x:c>
      <x:c r="N59" s="676" t="str">
        <x:v>否</x:v>
      </x:c>
      <x:c r="O59" s="426" t="str">
        <x:v>网关可拒绝绑定已失效资源。</x:v>
      </x:c>
      <x:c r="P59" s="676" t="str">
        <x:v>未开始</x:v>
      </x:c>
      <x:c r="Q59" s="676" t="str"/>
      <x:c r="R59" s="427" t="str"/>
    </x:row>
    <x:row r="60" ht="34" customHeight="1">
      <x:c r="A60" s="730" t="n">
        <x:v>4</x:v>
      </x:c>
      <x:c r="B60" s="731" t="str">
        <x:v>公共资源与能力域</x:v>
      </x:c>
      <x:c r="C60" s="599" t="str">
        <x:v>失效</x:v>
      </x:c>
      <x:c r="D60" s="599" t="str">
        <x:v>资源失效事件</x:v>
      </x:c>
      <x:c r="E60" s="599" t="str">
        <x:v>资源变更或停用时发布失效事件，标记关联用例 stale。</x:v>
      </x:c>
      <x:c r="F60" s="615" t="str">
        <x:v>补充治理</x:v>
      </x:c>
      <x:c r="G60" s="599" t="str">
        <x:v>resource version change</x:v>
      </x:c>
      <x:c r="H60" s="599" t="str">
        <x:v>ResourceInvalidationEvent</x:v>
      </x:c>
      <x:c r="I60" s="599" t="str">
        <x:v>事件总线、用例生命周期</x:v>
      </x:c>
      <x:c r="J60" s="599" t="str">
        <x:v>需控制批量失效范围。</x:v>
      </x:c>
      <x:c r="K60" s="615" t="str">
        <x:v>补充</x:v>
      </x:c>
      <x:c r="L60" s="615" t="str">
        <x:v>是</x:v>
      </x:c>
      <x:c r="M60" s="615" t="str">
        <x:v>P1</x:v>
      </x:c>
      <x:c r="N60" s="615" t="str">
        <x:v>否</x:v>
      </x:c>
      <x:c r="O60" s="599" t="str">
        <x:v>资源更新后相关用例可被准确识别。</x:v>
      </x:c>
      <x:c r="P60" s="615" t="str">
        <x:v>未开始</x:v>
      </x:c>
      <x:c r="Q60" s="615" t="str"/>
      <x:c r="R60" s="600" t="str"/>
    </x:row>
    <x:row r="61" ht="34" customHeight="1">
      <x:c r="A61" s="732" t="n">
        <x:v>4</x:v>
      </x:c>
      <x:c r="B61" s="733" t="str">
        <x:v>公共资源与能力域</x:v>
      </x:c>
      <x:c r="C61" s="426" t="str">
        <x:v>审批</x:v>
      </x:c>
      <x:c r="D61" s="426" t="str">
        <x:v>高风险能力审批</x:v>
      </x:c>
      <x:c r="E61" s="426" t="str">
        <x:v>对安全、故障、性能等高风险资源提供审批流程。</x:v>
      </x:c>
      <x:c r="F61" s="676" t="str">
        <x:v>补充治理</x:v>
      </x:c>
      <x:c r="G61" s="426" t="str">
        <x:v>conversion request、policy result</x:v>
      </x:c>
      <x:c r="H61" s="426" t="str">
        <x:v>approval record</x:v>
      </x:c>
      <x:c r="I61" s="426" t="str">
        <x:v>RBAC、策略中心</x:v>
      </x:c>
      <x:c r="J61" s="426" t="str">
        <x:v>无审批不得绑定受限能力。</x:v>
      </x:c>
      <x:c r="K61" s="676" t="str">
        <x:v>补充</x:v>
      </x:c>
      <x:c r="L61" s="676" t="str">
        <x:v>否</x:v>
      </x:c>
      <x:c r="M61" s="676" t="str">
        <x:v>P2</x:v>
      </x:c>
      <x:c r="N61" s="676" t="str">
        <x:v>否</x:v>
      </x:c>
      <x:c r="O61" s="426" t="str">
        <x:v>高风险场景在指定环境和审批后才能执行。</x:v>
      </x:c>
      <x:c r="P61" s="676" t="str">
        <x:v>未开始</x:v>
      </x:c>
      <x:c r="Q61" s="676" t="str"/>
      <x:c r="R61" s="427" t="str"/>
    </x:row>
    <x:row r="62" ht="34" customHeight="1">
      <x:c r="A62" s="734" t="n">
        <x:v>5</x:v>
      </x:c>
      <x:c r="B62" s="735" t="str">
        <x:v>测试用例、执行、证据与反馈域</x:v>
      </x:c>
      <x:c r="C62" s="599" t="str">
        <x:v>测试用例</x:v>
      </x:c>
      <x:c r="D62" s="599" t="str">
        <x:v>可执行测试用例库</x:v>
      </x:c>
      <x:c r="E62" s="599" t="str">
        <x:v>存储 TestCase 身份和 TestCaseVersion/script_code。</x:v>
      </x:c>
      <x:c r="F62" s="615" t="str">
        <x:v>存储</x:v>
      </x:c>
      <x:c r="G62" s="599" t="str">
        <x:v>CaseBuild result</x:v>
      </x:c>
      <x:c r="H62" s="599" t="str">
        <x:v>TestCase/TestCaseVersion</x:v>
      </x:c>
      <x:c r="I62" s="599" t="str">
        <x:v>数据库、版本管理</x:v>
      </x:c>
      <x:c r="J62" s="599" t="str">
        <x:v>script_code 是执行阶段唯一事实源。</x:v>
      </x:c>
      <x:c r="K62" s="615" t="str">
        <x:v>原图</x:v>
      </x:c>
      <x:c r="L62" s="615" t="str">
        <x:v>是</x:v>
      </x:c>
      <x:c r="M62" s="615" t="str">
        <x:v>P0</x:v>
      </x:c>
      <x:c r="N62" s="615" t="str">
        <x:v>是</x:v>
      </x:c>
      <x:c r="O62" s="599" t="str">
        <x:v>Runner不再读取自然语言资产或临时结构。</x:v>
      </x:c>
      <x:c r="P62" s="615" t="str">
        <x:v>未开始</x:v>
      </x:c>
      <x:c r="Q62" s="615" t="str"/>
      <x:c r="R62" s="600" t="str"/>
    </x:row>
    <x:row r="63" ht="34" customHeight="1">
      <x:c r="A63" s="736" t="n">
        <x:v>5</x:v>
      </x:c>
      <x:c r="B63" s="737" t="str">
        <x:v>测试用例、执行、证据与反馈域</x:v>
      </x:c>
      <x:c r="C63" s="432" t="str">
        <x:v>测试用例</x:v>
      </x:c>
      <x:c r="D63" s="432" t="str">
        <x:v>资源绑定快照</x:v>
      </x:c>
      <x:c r="E63" s="432" t="str">
        <x:v>保存页面、数据、环境、能力、策略的版本引用。</x:v>
      </x:c>
      <x:c r="F63" s="688" t="str">
        <x:v>补充存储</x:v>
      </x:c>
      <x:c r="G63" s="432" t="str">
        <x:v>ResourceBindings</x:v>
      </x:c>
      <x:c r="H63" s="432" t="str">
        <x:v>resource_binding_snapshot</x:v>
      </x:c>
      <x:c r="I63" s="432" t="str">
        <x:v>资源版本注册</x:v>
      </x:c>
      <x:c r="J63" s="432" t="str">
        <x:v>不得保存敏感明文。</x:v>
      </x:c>
      <x:c r="K63" s="688" t="str">
        <x:v>补充</x:v>
      </x:c>
      <x:c r="L63" s="688" t="str">
        <x:v>是</x:v>
      </x:c>
      <x:c r="M63" s="688" t="str">
        <x:v>P0</x:v>
      </x:c>
      <x:c r="N63" s="688" t="str">
        <x:v>是</x:v>
      </x:c>
      <x:c r="O63" s="432" t="str">
        <x:v>可重现用例生成时依赖的全部资源版本。</x:v>
      </x:c>
      <x:c r="P63" s="688" t="str">
        <x:v>未开始</x:v>
      </x:c>
      <x:c r="Q63" s="688" t="str"/>
      <x:c r="R63" s="433" t="str"/>
    </x:row>
    <x:row r="64" ht="34" customHeight="1">
      <x:c r="A64" s="734" t="n">
        <x:v>5</x:v>
      </x:c>
      <x:c r="B64" s="735" t="str">
        <x:v>测试用例、执行、证据与反馈域</x:v>
      </x:c>
      <x:c r="C64" s="599" t="str">
        <x:v>生命周期</x:v>
      </x:c>
      <x:c r="D64" s="599" t="str">
        <x:v>用例版本与失效管理</x:v>
      </x:c>
      <x:c r="E64" s="599" t="str">
        <x:v>管理 ready/stale/disabled，并响应资产或资源变化。</x:v>
      </x:c>
      <x:c r="F64" s="615" t="str">
        <x:v>管理</x:v>
      </x:c>
      <x:c r="G64" s="599" t="str">
        <x:v>asset/resource invalidation</x:v>
      </x:c>
      <x:c r="H64" s="599" t="str">
        <x:v>case status</x:v>
      </x:c>
      <x:c r="I64" s="599" t="str">
        <x:v>事件总线、版本管理</x:v>
      </x:c>
      <x:c r="J64" s="599" t="str">
        <x:v>stale 用例不得静默执行。</x:v>
      </x:c>
      <x:c r="K64" s="615" t="str">
        <x:v>原图</x:v>
      </x:c>
      <x:c r="L64" s="615" t="str">
        <x:v>是</x:v>
      </x:c>
      <x:c r="M64" s="615" t="str">
        <x:v>P1</x:v>
      </x:c>
      <x:c r="N64" s="615" t="str">
        <x:v>否</x:v>
      </x:c>
      <x:c r="O64" s="599" t="str">
        <x:v>资源变化后可准确标记并要求重新转换。</x:v>
      </x:c>
      <x:c r="P64" s="615" t="str">
        <x:v>未开始</x:v>
      </x:c>
      <x:c r="Q64" s="615" t="str"/>
      <x:c r="R64" s="600" t="str"/>
    </x:row>
    <x:row r="65" ht="34" customHeight="1">
      <x:c r="A65" s="736" t="n">
        <x:v>5</x:v>
      </x:c>
      <x:c r="B65" s="737" t="str">
        <x:v>测试用例、执行、证据与反馈域</x:v>
      </x:c>
      <x:c r="C65" s="432" t="str">
        <x:v>调度</x:v>
      </x:c>
      <x:c r="D65" s="432" t="str">
        <x:v>任务调度中心</x:v>
      </x:c>
      <x:c r="E65" s="432" t="str">
        <x:v>管理优先级、队列、并发、定时和CI触发。</x:v>
      </x:c>
      <x:c r="F65" s="688" t="str">
        <x:v>调度</x:v>
      </x:c>
      <x:c r="G65" s="432" t="str">
        <x:v>case_ids、schedule、priority</x:v>
      </x:c>
      <x:c r="H65" s="432" t="str">
        <x:v>ExecutionJob</x:v>
      </x:c>
      <x:c r="I65" s="432" t="str">
        <x:v>MQ、项目配额</x:v>
      </x:c>
      <x:c r="J65" s="432" t="str">
        <x:v>按项目、环境和Runner限制并发。</x:v>
      </x:c>
      <x:c r="K65" s="688" t="str">
        <x:v>原图</x:v>
      </x:c>
      <x:c r="L65" s="688" t="str">
        <x:v>是</x:v>
      </x:c>
      <x:c r="M65" s="688" t="str">
        <x:v>P0</x:v>
      </x:c>
      <x:c r="N65" s="688" t="str">
        <x:v>是</x:v>
      </x:c>
      <x:c r="O65" s="432" t="str">
        <x:v>任务可查询排队、运行和完成状态。</x:v>
      </x:c>
      <x:c r="P65" s="688" t="str">
        <x:v>未开始</x:v>
      </x:c>
      <x:c r="Q65" s="688" t="str"/>
      <x:c r="R65" s="433" t="str"/>
    </x:row>
    <x:row r="66" ht="34" customHeight="1">
      <x:c r="A66" s="734" t="n">
        <x:v>5</x:v>
      </x:c>
      <x:c r="B66" s="735" t="str">
        <x:v>测试用例、执行、证据与反馈域</x:v>
      </x:c>
      <x:c r="C66" s="599" t="str">
        <x:v>执行控制</x:v>
      </x:c>
      <x:c r="D66" s="599" t="str">
        <x:v>执行控制中心</x:v>
      </x:c>
      <x:c r="E66" s="599" t="str">
        <x:v>管理环境锁、资源锁、超时、重试、取消和强制清理。</x:v>
      </x:c>
      <x:c r="F66" s="615" t="str">
        <x:v>控制</x:v>
      </x:c>
      <x:c r="G66" s="599" t="str">
        <x:v>ExecutionJob、BoundPlan snapshot</x:v>
      </x:c>
      <x:c r="H66" s="599" t="str">
        <x:v>execution control decisions</x:v>
      </x:c>
      <x:c r="I66" s="599" t="str">
        <x:v>Redis、策略中心</x:v>
      </x:c>
      <x:c r="J66" s="599" t="str">
        <x:v>异常/安全/性能场景必须使用隔离和清理。</x:v>
      </x:c>
      <x:c r="K66" s="615" t="str">
        <x:v>原图</x:v>
      </x:c>
      <x:c r="L66" s="615" t="str">
        <x:v>是</x:v>
      </x:c>
      <x:c r="M66" s="615" t="str">
        <x:v>P0</x:v>
      </x:c>
      <x:c r="N66" s="615" t="str">
        <x:v>是</x:v>
      </x:c>
      <x:c r="O66" s="599" t="str">
        <x:v>清理失败单独记录并触发告警。</x:v>
      </x:c>
      <x:c r="P66" s="615" t="str">
        <x:v>未开始</x:v>
      </x:c>
      <x:c r="Q66" s="615" t="str"/>
      <x:c r="R66" s="600" t="str"/>
    </x:row>
    <x:row r="67" ht="34" customHeight="1">
      <x:c r="A67" s="736" t="n">
        <x:v>5</x:v>
      </x:c>
      <x:c r="B67" s="737" t="str">
        <x:v>测试用例、执行、证据与反馈域</x:v>
      </x:c>
      <x:c r="C67" s="432" t="str">
        <x:v>路由</x:v>
      </x:c>
      <x:c r="D67" s="432" t="str">
        <x:v>Runner Router</x:v>
      </x:c>
      <x:c r="E67" s="432" t="str">
        <x:v>按 runner_type 和能力将用例路由到执行器。</x:v>
      </x:c>
      <x:c r="F67" s="688" t="str">
        <x:v>路由</x:v>
      </x:c>
      <x:c r="G67" s="432" t="str">
        <x:v>TestCaseVersion</x:v>
      </x:c>
      <x:c r="H67" s="432" t="str">
        <x:v>runner selection</x:v>
      </x:c>
      <x:c r="I67" s="432" t="str">
        <x:v>Runner Registry</x:v>
      </x:c>
      <x:c r="J67" s="432" t="str">
        <x:v>不支持的runner必须在转换阶段被阻断。</x:v>
      </x:c>
      <x:c r="K67" s="688" t="str">
        <x:v>原图</x:v>
      </x:c>
      <x:c r="L67" s="688" t="str">
        <x:v>是</x:v>
      </x:c>
      <x:c r="M67" s="688" t="str">
        <x:v>P0</x:v>
      </x:c>
      <x:c r="N67" s="688" t="str">
        <x:v>是</x:v>
      </x:c>
      <x:c r="O67" s="432" t="str">
        <x:v>UI/API/性能/安全/混沌可独立扩展。</x:v>
      </x:c>
      <x:c r="P67" s="688" t="str">
        <x:v>未开始</x:v>
      </x:c>
      <x:c r="Q67" s="688" t="str"/>
      <x:c r="R67" s="433" t="str"/>
    </x:row>
    <x:row r="68" ht="34" customHeight="1">
      <x:c r="A68" s="734" t="n">
        <x:v>5</x:v>
      </x:c>
      <x:c r="B68" s="735" t="str">
        <x:v>测试用例、执行、证据与反馈域</x:v>
      </x:c>
      <x:c r="C68" s="599" t="str">
        <x:v>执行</x:v>
      </x:c>
      <x:c r="D68" s="599" t="str">
        <x:v>执行引擎</x:v>
      </x:c>
      <x:c r="E68" s="599" t="str">
        <x:v>执行 UI、API、性能、安全和混沌测试。</x:v>
      </x:c>
      <x:c r="F68" s="615" t="str">
        <x:v>执行核心</x:v>
      </x:c>
      <x:c r="G68" s="599" t="str">
        <x:v>script_code、runtime refs</x:v>
      </x:c>
      <x:c r="H68" s="599" t="str">
        <x:v>step events、raw results</x:v>
      </x:c>
      <x:c r="I68" s="599" t="str">
        <x:v>运行环境、数据/凭证注入</x:v>
      </x:c>
      <x:c r="J68" s="599" t="str">
        <x:v>只能读取 test_case 机器语言和引用。</x:v>
      </x:c>
      <x:c r="K68" s="615" t="str">
        <x:v>原图</x:v>
      </x:c>
      <x:c r="L68" s="615" t="str">
        <x:v>是</x:v>
      </x:c>
      <x:c r="M68" s="615" t="str">
        <x:v>P0</x:v>
      </x:c>
      <x:c r="N68" s="615" t="str">
        <x:v>是</x:v>
      </x:c>
      <x:c r="O68" s="599" t="str">
        <x:v>V1先复用Playwright执行功能测试。</x:v>
      </x:c>
      <x:c r="P68" s="615" t="str">
        <x:v>未开始</x:v>
      </x:c>
      <x:c r="Q68" s="615" t="str"/>
      <x:c r="R68" s="600" t="str"/>
    </x:row>
    <x:row r="69" ht="34" customHeight="1">
      <x:c r="A69" s="736" t="n">
        <x:v>5</x:v>
      </x:c>
      <x:c r="B69" s="737" t="str">
        <x:v>测试用例、执行、证据与反馈域</x:v>
      </x:c>
      <x:c r="C69" s="432" t="str">
        <x:v>运行时</x:v>
      </x:c>
      <x:c r="D69" s="432" t="str">
        <x:v>运行上下文注入</x:v>
      </x:c>
      <x:c r="E69" s="432" t="str">
        <x:v>在执行前解析环境、数据、凭证和能力引用。</x:v>
      </x:c>
      <x:c r="F69" s="688" t="str">
        <x:v>补充服务</x:v>
      </x:c>
      <x:c r="G69" s="432" t="str">
        <x:v>resource_binding_snapshot</x:v>
      </x:c>
      <x:c r="H69" s="432" t="str">
        <x:v>runtime context</x:v>
      </x:c>
      <x:c r="I69" s="432" t="str">
        <x:v>资源能力网关、凭证中心</x:v>
      </x:c>
      <x:c r="J69" s="432" t="str">
        <x:v>运行时解析不得改变用例业务语义。</x:v>
      </x:c>
      <x:c r="K69" s="688" t="str">
        <x:v>补充</x:v>
      </x:c>
      <x:c r="L69" s="688" t="str">
        <x:v>是</x:v>
      </x:c>
      <x:c r="M69" s="688" t="str">
        <x:v>P0</x:v>
      </x:c>
      <x:c r="N69" s="688" t="str">
        <x:v>是</x:v>
      </x:c>
      <x:c r="O69" s="432" t="str">
        <x:v>敏感值只在运行时短暂存在。</x:v>
      </x:c>
      <x:c r="P69" s="688" t="str">
        <x:v>未开始</x:v>
      </x:c>
      <x:c r="Q69" s="688" t="str"/>
      <x:c r="R69" s="433" t="str"/>
    </x:row>
    <x:row r="70" ht="34" customHeight="1">
      <x:c r="A70" s="734" t="n">
        <x:v>5</x:v>
      </x:c>
      <x:c r="B70" s="735" t="str">
        <x:v>测试用例、执行、证据与反馈域</x:v>
      </x:c>
      <x:c r="C70" s="599" t="str">
        <x:v>执行记录</x:v>
      </x:c>
      <x:c r="D70" s="599" t="str">
        <x:v>执行记录库</x:v>
      </x:c>
      <x:c r="E70" s="599" t="str">
        <x:v>保存每次执行状态、环境、版本、重试和耗时。</x:v>
      </x:c>
      <x:c r="F70" s="615" t="str">
        <x:v>存储</x:v>
      </x:c>
      <x:c r="G70" s="599" t="str">
        <x:v>execution events</x:v>
      </x:c>
      <x:c r="H70" s="599" t="str">
        <x:v>Execution</x:v>
      </x:c>
      <x:c r="I70" s="599" t="str">
        <x:v>调度、Runner</x:v>
      </x:c>
      <x:c r="J70" s="599" t="str">
        <x:v>状态更新幂等，执行记录不得与报告混为一体。</x:v>
      </x:c>
      <x:c r="K70" s="615" t="str">
        <x:v>原图</x:v>
      </x:c>
      <x:c r="L70" s="615" t="str">
        <x:v>是</x:v>
      </x:c>
      <x:c r="M70" s="615" t="str">
        <x:v>P0</x:v>
      </x:c>
      <x:c r="N70" s="615" t="str">
        <x:v>是</x:v>
      </x:c>
      <x:c r="O70" s="599" t="str">
        <x:v>任意报告和证据都可关联 execution_id。</x:v>
      </x:c>
      <x:c r="P70" s="615" t="str">
        <x:v>未开始</x:v>
      </x:c>
      <x:c r="Q70" s="615" t="str"/>
      <x:c r="R70" s="600" t="str"/>
    </x:row>
    <x:row r="71" ht="34" customHeight="1">
      <x:c r="A71" s="736" t="n">
        <x:v>5</x:v>
      </x:c>
      <x:c r="B71" s="737" t="str">
        <x:v>测试用例、执行、证据与反馈域</x:v>
      </x:c>
      <x:c r="C71" s="432" t="str">
        <x:v>断言</x:v>
      </x:c>
      <x:c r="D71" s="432" t="str">
        <x:v>断言评估引擎</x:v>
      </x:c>
      <x:c r="E71" s="432" t="str">
        <x:v>统一评估业务、技术和指标断言。</x:v>
      </x:c>
      <x:c r="F71" s="688" t="str">
        <x:v>评估</x:v>
      </x:c>
      <x:c r="G71" s="432" t="str">
        <x:v>actual result、expected assertion</x:v>
      </x:c>
      <x:c r="H71" s="432" t="str">
        <x:v>AssertionResult</x:v>
      </x:c>
      <x:c r="I71" s="432" t="str">
        <x:v>Runner、Evidence</x:v>
      </x:c>
      <x:c r="J71" s="432" t="str">
        <x:v>断言结果需包含期望、实际、状态和证据引用。</x:v>
      </x:c>
      <x:c r="K71" s="688" t="str">
        <x:v>原图</x:v>
      </x:c>
      <x:c r="L71" s="688" t="str">
        <x:v>是</x:v>
      </x:c>
      <x:c r="M71" s="688" t="str">
        <x:v>P0</x:v>
      </x:c>
      <x:c r="N71" s="688" t="str">
        <x:v>是</x:v>
      </x:c>
      <x:c r="O71" s="432" t="str">
        <x:v>断言失败可精确定位步骤和原因。</x:v>
      </x:c>
      <x:c r="P71" s="688" t="str">
        <x:v>未开始</x:v>
      </x:c>
      <x:c r="Q71" s="688" t="str"/>
      <x:c r="R71" s="433" t="str"/>
    </x:row>
    <x:row r="72" ht="34" customHeight="1">
      <x:c r="A72" s="734" t="n">
        <x:v>5</x:v>
      </x:c>
      <x:c r="B72" s="735" t="str">
        <x:v>测试用例、执行、证据与反馈域</x:v>
      </x:c>
      <x:c r="C72" s="599" t="str">
        <x:v>证据</x:v>
      </x:c>
      <x:c r="D72" s="599" t="str">
        <x:v>证据存储</x:v>
      </x:c>
      <x:c r="E72" s="599" t="str">
        <x:v>保存截图、视频、Trace、日志、网络和性能指标。</x:v>
      </x:c>
      <x:c r="F72" s="615" t="str">
        <x:v>存储</x:v>
      </x:c>
      <x:c r="G72" s="599" t="str">
        <x:v>Runner evidence streams</x:v>
      </x:c>
      <x:c r="H72" s="599" t="str">
        <x:v>Evidence metadata/object refs</x:v>
      </x:c>
      <x:c r="I72" s="599" t="str">
        <x:v>对象存储、生命周期策略</x:v>
      </x:c>
      <x:c r="J72" s="599" t="str">
        <x:v>证据需脱敏、分级授权和保留周期。</x:v>
      </x:c>
      <x:c r="K72" s="615" t="str">
        <x:v>原图</x:v>
      </x:c>
      <x:c r="L72" s="615" t="str">
        <x:v>是</x:v>
      </x:c>
      <x:c r="M72" s="615" t="str">
        <x:v>P0</x:v>
      </x:c>
      <x:c r="N72" s="615" t="str">
        <x:v>是</x:v>
      </x:c>
      <x:c r="O72" s="599" t="str">
        <x:v>证据与execution/step/assertion完整关联。</x:v>
      </x:c>
      <x:c r="P72" s="615" t="str">
        <x:v>未开始</x:v>
      </x:c>
      <x:c r="Q72" s="615" t="str"/>
      <x:c r="R72" s="600" t="str"/>
    </x:row>
    <x:row r="73" ht="34" customHeight="1">
      <x:c r="A73" s="736" t="n">
        <x:v>5</x:v>
      </x:c>
      <x:c r="B73" s="737" t="str">
        <x:v>测试用例、执行、证据与反馈域</x:v>
      </x:c>
      <x:c r="C73" s="432" t="str">
        <x:v>报告</x:v>
      </x:c>
      <x:c r="D73" s="432" t="str">
        <x:v>报告服务</x:v>
      </x:c>
      <x:c r="E73" s="432" t="str">
        <x:v>聚合执行记录、断言、证据和资源快照。</x:v>
      </x:c>
      <x:c r="F73" s="688" t="str">
        <x:v>输出</x:v>
      </x:c>
      <x:c r="G73" s="432" t="str">
        <x:v>Execution、Assertion、Evidence</x:v>
      </x:c>
      <x:c r="H73" s="432" t="str">
        <x:v>Allure/JSON/Markdown/Dashboard</x:v>
      </x:c>
      <x:c r="I73" s="432" t="str">
        <x:v>对象存储、前端</x:v>
      </x:c>
      <x:c r="J73" s="432" t="str">
        <x:v>报告生成失败不得改变执行最终状态。</x:v>
      </x:c>
      <x:c r="K73" s="688" t="str">
        <x:v>原图</x:v>
      </x:c>
      <x:c r="L73" s="688" t="str">
        <x:v>是</x:v>
      </x:c>
      <x:c r="M73" s="688" t="str">
        <x:v>P0</x:v>
      </x:c>
      <x:c r="N73" s="688" t="str">
        <x:v>是</x:v>
      </x:c>
      <x:c r="O73" s="432" t="str">
        <x:v>报告可重建且具备来源和环境信息。</x:v>
      </x:c>
      <x:c r="P73" s="688" t="str">
        <x:v>未开始</x:v>
      </x:c>
      <x:c r="Q73" s="688" t="str"/>
      <x:c r="R73" s="433" t="str"/>
    </x:row>
    <x:row r="74" ht="34" customHeight="1">
      <x:c r="A74" s="734" t="n">
        <x:v>5</x:v>
      </x:c>
      <x:c r="B74" s="735" t="str">
        <x:v>测试用例、执行、证据与反馈域</x:v>
      </x:c>
      <x:c r="C74" s="599" t="str">
        <x:v>分析</x:v>
      </x:c>
      <x:c r="D74" s="599" t="str">
        <x:v>失败归因与失效分析</x:v>
      </x:c>
      <x:c r="E74" s="599" t="str">
        <x:v>区分产品缺陷、资产问题、资源问题、环境问题和用例失效。</x:v>
      </x:c>
      <x:c r="F74" s="615" t="str">
        <x:v>反馈</x:v>
      </x:c>
      <x:c r="G74" s="599" t="str">
        <x:v>执行结果、日志、资源快照</x:v>
      </x:c>
      <x:c r="H74" s="599" t="str">
        <x:v>FailureClassification</x:v>
      </x:c>
      <x:c r="I74" s="599" t="str">
        <x:v>报告、AI辅助</x:v>
      </x:c>
      <x:c r="J74" s="599" t="str">
        <x:v>自动归因允许人工纠正。</x:v>
      </x:c>
      <x:c r="K74" s="615" t="str">
        <x:v>原图</x:v>
      </x:c>
      <x:c r="L74" s="615" t="str">
        <x:v>否</x:v>
      </x:c>
      <x:c r="M74" s="615" t="str">
        <x:v>P1</x:v>
      </x:c>
      <x:c r="N74" s="615" t="str">
        <x:v>否</x:v>
      </x:c>
      <x:c r="O74" s="599" t="str">
        <x:v>失败可回链到资产、资源、用例和执行记录。</x:v>
      </x:c>
      <x:c r="P74" s="615" t="str">
        <x:v>未开始</x:v>
      </x:c>
      <x:c r="Q74" s="615" t="str"/>
      <x:c r="R74" s="600" t="str"/>
    </x:row>
    <x:row r="75" ht="34" customHeight="1">
      <x:c r="A75" s="736" t="n">
        <x:v>5</x:v>
      </x:c>
      <x:c r="B75" s="737" t="str">
        <x:v>测试用例、执行、证据与反馈域</x:v>
      </x:c>
      <x:c r="C75" s="432" t="str">
        <x:v>缺陷</x:v>
      </x:c>
      <x:c r="D75" s="432" t="str">
        <x:v>缺陷管理集成</x:v>
      </x:c>
      <x:c r="E75" s="432" t="str">
        <x:v>创建或关联缺陷，并携带完整追踪ID。</x:v>
      </x:c>
      <x:c r="F75" s="688" t="str">
        <x:v>补充服务</x:v>
      </x:c>
      <x:c r="G75" s="432" t="str">
        <x:v>FailureClassification</x:v>
      </x:c>
      <x:c r="H75" s="432" t="str">
        <x:v>defect_id/link</x:v>
      </x:c>
      <x:c r="I75" s="432" t="str">
        <x:v>外部缺陷系统、审计</x:v>
      </x:c>
      <x:c r="J75" s="432" t="str">
        <x:v>反馈不能泛化回到无上下文输入。</x:v>
      </x:c>
      <x:c r="K75" s="688" t="str">
        <x:v>补充</x:v>
      </x:c>
      <x:c r="L75" s="688" t="str">
        <x:v>否</x:v>
      </x:c>
      <x:c r="M75" s="688" t="str">
        <x:v>P1</x:v>
      </x:c>
      <x:c r="N75" s="688" t="str">
        <x:v>否</x:v>
      </x:c>
      <x:c r="O75" s="432" t="str">
        <x:v>缺陷包含requirement/asset/case/execution/resource IDs。</x:v>
      </x:c>
      <x:c r="P75" s="688" t="str">
        <x:v>未开始</x:v>
      </x:c>
      <x:c r="Q75" s="688" t="str"/>
      <x:c r="R75" s="433" t="str"/>
    </x:row>
    <x:row r="76" ht="34" customHeight="1">
      <x:c r="A76" s="734" t="n">
        <x:v>5</x:v>
      </x:c>
      <x:c r="B76" s="735" t="str">
        <x:v>测试用例、执行、证据与反馈域</x:v>
      </x:c>
      <x:c r="C76" s="599" t="str">
        <x:v>反馈</x:v>
      </x:c>
      <x:c r="D76" s="599" t="str">
        <x:v>闭环反馈路由</x:v>
      </x:c>
      <x:c r="E76" s="599" t="str">
        <x:v>将资产问题回到资产中心，将资源问题回到资源中心。</x:v>
      </x:c>
      <x:c r="F76" s="615" t="str">
        <x:v>补充路由</x:v>
      </x:c>
      <x:c r="G76" s="599" t="str">
        <x:v>failure category</x:v>
      </x:c>
      <x:c r="H76" s="599" t="str">
        <x:v>targeted feedback event</x:v>
      </x:c>
      <x:c r="I76" s="599" t="str">
        <x:v>事件总线、资产/资源域</x:v>
      </x:c>
      <x:c r="J76" s="599" t="str">
        <x:v>不得直接触发无上下文AI生成。</x:v>
      </x:c>
      <x:c r="K76" s="615" t="str">
        <x:v>补充</x:v>
      </x:c>
      <x:c r="L76" s="615" t="str">
        <x:v>否</x:v>
      </x:c>
      <x:c r="M76" s="615" t="str">
        <x:v>P1</x:v>
      </x:c>
      <x:c r="N76" s="615" t="str">
        <x:v>否</x:v>
      </x:c>
      <x:c r="O76" s="599" t="str">
        <x:v>不同问题进入对应修复责任域。</x:v>
      </x:c>
      <x:c r="P76" s="615" t="str">
        <x:v>未开始</x:v>
      </x:c>
      <x:c r="Q76" s="615" t="str"/>
      <x:c r="R76" s="600" t="str"/>
    </x:row>
    <x:row r="77" ht="34" customHeight="1">
      <x:c r="A77" s="738" t="n">
        <x:v>6</x:v>
      </x:c>
      <x:c r="B77" s="739" t="str">
        <x:v>平台控制面</x:v>
      </x:c>
      <x:c r="C77" s="599" t="str">
        <x:v>组织项目</x:v>
      </x:c>
      <x:c r="D77" s="599" t="str">
        <x:v>组织 / 租户 / 项目模型</x:v>
      </x:c>
      <x:c r="E77" s="599" t="str">
        <x:v>建立最小组织与项目作用域。</x:v>
      </x:c>
      <x:c r="F77" s="615" t="str">
        <x:v>补充治理</x:v>
      </x:c>
      <x:c r="G77" s="599" t="str">
        <x:v>用户/配置</x:v>
      </x:c>
      <x:c r="H77" s="599" t="str">
        <x:v>tenant_id、project_id</x:v>
      </x:c>
      <x:c r="I77" s="599" t="str">
        <x:v>认证、数据库</x:v>
      </x:c>
      <x:c r="J77" s="599" t="str">
        <x:v>即使单租户也必须以 project_id 隔离数据。</x:v>
      </x:c>
      <x:c r="K77" s="615" t="str">
        <x:v>补充</x:v>
      </x:c>
      <x:c r="L77" s="615" t="str">
        <x:v>是</x:v>
      </x:c>
      <x:c r="M77" s="615" t="str">
        <x:v>P0</x:v>
      </x:c>
      <x:c r="N77" s="615" t="str">
        <x:v>是</x:v>
      </x:c>
      <x:c r="O77" s="599" t="str">
        <x:v>所有核心实体具备 project_id。</x:v>
      </x:c>
      <x:c r="P77" s="615" t="str">
        <x:v>未开始</x:v>
      </x:c>
      <x:c r="Q77" s="615" t="str"/>
      <x:c r="R77" s="600" t="str"/>
    </x:row>
    <x:row r="78" ht="34" customHeight="1">
      <x:c r="A78" s="740" t="n">
        <x:v>6</x:v>
      </x:c>
      <x:c r="B78" s="741" t="str">
        <x:v>平台控制面</x:v>
      </x:c>
      <x:c r="C78" s="438" t="str">
        <x:v>数据隔离</x:v>
      </x:c>
      <x:c r="D78" s="438" t="str">
        <x:v>项目作用域与数据隔离</x:v>
      </x:c>
      <x:c r="E78" s="438" t="str">
        <x:v>对资源、资产、用例和执行实现项目级隔离。</x:v>
      </x:c>
      <x:c r="F78" s="703" t="str">
        <x:v>治理</x:v>
      </x:c>
      <x:c r="G78" s="438" t="str">
        <x:v>project context</x:v>
      </x:c>
      <x:c r="H78" s="438" t="str">
        <x:v>scoped query/write</x:v>
      </x:c>
      <x:c r="I78" s="438" t="str">
        <x:v>Project、Repository</x:v>
      </x:c>
      <x:c r="J78" s="438" t="str">
        <x:v>禁止默认项目和跨项目隐式访问。</x:v>
      </x:c>
      <x:c r="K78" s="703" t="str">
        <x:v>原图</x:v>
      </x:c>
      <x:c r="L78" s="703" t="str">
        <x:v>是</x:v>
      </x:c>
      <x:c r="M78" s="703" t="str">
        <x:v>P0</x:v>
      </x:c>
      <x:c r="N78" s="703" t="str">
        <x:v>是</x:v>
      </x:c>
      <x:c r="O78" s="438" t="str">
        <x:v>跨项目读写被系统拒绝并有自动化测试。</x:v>
      </x:c>
      <x:c r="P78" s="703" t="str">
        <x:v>未开始</x:v>
      </x:c>
      <x:c r="Q78" s="703" t="str"/>
      <x:c r="R78" s="439" t="str"/>
    </x:row>
    <x:row r="79" ht="34" customHeight="1">
      <x:c r="A79" s="738" t="n">
        <x:v>6</x:v>
      </x:c>
      <x:c r="B79" s="739" t="str">
        <x:v>平台控制面</x:v>
      </x:c>
      <x:c r="C79" s="599" t="str">
        <x:v>标识</x:v>
      </x:c>
      <x:c r="D79" s="599" t="str">
        <x:v>统一 ID / Trace / Batch 管理</x:v>
      </x:c>
      <x:c r="E79" s="599" t="str">
        <x:v>统一实体ID、请求追踪、生成批次、转换和执行ID。</x:v>
      </x:c>
      <x:c r="F79" s="615" t="str">
        <x:v>基础能力</x:v>
      </x:c>
      <x:c r="G79" s="599" t="str">
        <x:v>entity type、request context</x:v>
      </x:c>
      <x:c r="H79" s="599" t="str">
        <x:v>stable IDs、trace context</x:v>
      </x:c>
      <x:c r="I79" s="599" t="str">
        <x:v>日志、消息队列</x:v>
      </x:c>
      <x:c r="J79" s="599" t="str">
        <x:v>AI不得生成权威ID；异步消息必须传递上下文。</x:v>
      </x:c>
      <x:c r="K79" s="615" t="str">
        <x:v>原图</x:v>
      </x:c>
      <x:c r="L79" s="615" t="str">
        <x:v>是</x:v>
      </x:c>
      <x:c r="M79" s="615" t="str">
        <x:v>P0</x:v>
      </x:c>
      <x:c r="N79" s="615" t="str">
        <x:v>是</x:v>
      </x:c>
      <x:c r="O79" s="599" t="str">
        <x:v>可用一组ID串联输入到报告。</x:v>
      </x:c>
      <x:c r="P79" s="615" t="str">
        <x:v>未开始</x:v>
      </x:c>
      <x:c r="Q79" s="615" t="str"/>
      <x:c r="R79" s="600" t="str"/>
    </x:row>
    <x:row r="80" ht="34" customHeight="1">
      <x:c r="A80" s="740" t="n">
        <x:v>6</x:v>
      </x:c>
      <x:c r="B80" s="741" t="str">
        <x:v>平台控制面</x:v>
      </x:c>
      <x:c r="C80" s="438" t="str">
        <x:v>版本</x:v>
      </x:c>
      <x:c r="D80" s="438" t="str">
        <x:v>版本管理</x:v>
      </x:c>
      <x:c r="E80" s="438" t="str">
        <x:v>统一资产、资源、策略、用例等版本规则。</x:v>
      </x:c>
      <x:c r="F80" s="703" t="str">
        <x:v>基础能力</x:v>
      </x:c>
      <x:c r="G80" s="438" t="str">
        <x:v>entity change</x:v>
      </x:c>
      <x:c r="H80" s="438" t="str">
        <x:v>version/revision</x:v>
      </x:c>
      <x:c r="I80" s="438" t="str">
        <x:v>审计、事件总线</x:v>
      </x:c>
      <x:c r="J80" s="438" t="str">
        <x:v>版本不可覆盖，资源变更可触发失效。</x:v>
      </x:c>
      <x:c r="K80" s="703" t="str">
        <x:v>原图</x:v>
      </x:c>
      <x:c r="L80" s="703" t="str">
        <x:v>是</x:v>
      </x:c>
      <x:c r="M80" s="703" t="str">
        <x:v>P0</x:v>
      </x:c>
      <x:c r="N80" s="703" t="str">
        <x:v>是</x:v>
      </x:c>
      <x:c r="O80" s="438" t="str">
        <x:v>所有事实源都能定位到具体版本。</x:v>
      </x:c>
      <x:c r="P80" s="703" t="str">
        <x:v>未开始</x:v>
      </x:c>
      <x:c r="Q80" s="703" t="str"/>
      <x:c r="R80" s="439" t="str"/>
    </x:row>
    <x:row r="81" ht="34" customHeight="1">
      <x:c r="A81" s="738" t="n">
        <x:v>6</x:v>
      </x:c>
      <x:c r="B81" s="739" t="str">
        <x:v>平台控制面</x:v>
      </x:c>
      <x:c r="C81" s="599" t="str">
        <x:v>审计</x:v>
      </x:c>
      <x:c r="D81" s="599" t="str">
        <x:v>审计日志与变更记录</x:v>
      </x:c>
      <x:c r="E81" s="599" t="str">
        <x:v>记录编辑、审核、转换、资源变更和执行控制操作。</x:v>
      </x:c>
      <x:c r="F81" s="615" t="str">
        <x:v>基础能力</x:v>
      </x:c>
      <x:c r="G81" s="599" t="str">
        <x:v>domain events</x:v>
      </x:c>
      <x:c r="H81" s="599" t="str">
        <x:v>AuditEvent</x:v>
      </x:c>
      <x:c r="I81" s="599" t="str">
        <x:v>统一ID、存储</x:v>
      </x:c>
      <x:c r="J81" s="599" t="str">
        <x:v>敏感字段必须脱敏。</x:v>
      </x:c>
      <x:c r="K81" s="615" t="str">
        <x:v>原图</x:v>
      </x:c>
      <x:c r="L81" s="615" t="str">
        <x:v>是</x:v>
      </x:c>
      <x:c r="M81" s="615" t="str">
        <x:v>P0</x:v>
      </x:c>
      <x:c r="N81" s="615" t="str">
        <x:v>是</x:v>
      </x:c>
      <x:c r="O81" s="599" t="str">
        <x:v>关键操作可查询操作人、时间和前后值。</x:v>
      </x:c>
      <x:c r="P81" s="615" t="str">
        <x:v>未开始</x:v>
      </x:c>
      <x:c r="Q81" s="615" t="str"/>
      <x:c r="R81" s="600" t="str"/>
    </x:row>
    <x:row r="82" ht="34" customHeight="1">
      <x:c r="A82" s="740" t="n">
        <x:v>6</x:v>
      </x:c>
      <x:c r="B82" s="741" t="str">
        <x:v>平台控制面</x:v>
      </x:c>
      <x:c r="C82" s="438" t="str">
        <x:v>异步</x:v>
      </x:c>
      <x:c r="D82" s="438" t="str">
        <x:v>异步任务与事件总线</x:v>
      </x:c>
      <x:c r="E82" s="438" t="str">
        <x:v>支撑生成、评估、去重、转换、调度和失效事件。</x:v>
      </x:c>
      <x:c r="F82" s="703" t="str">
        <x:v>基础能力</x:v>
      </x:c>
      <x:c r="G82" s="438" t="str">
        <x:v>job/event</x:v>
      </x:c>
      <x:c r="H82" s="438" t="str">
        <x:v>Job状态、DomainEvent</x:v>
      </x:c>
      <x:c r="I82" s="438" t="str">
        <x:v>MQ、Worker</x:v>
      </x:c>
      <x:c r="J82" s="438" t="str">
        <x:v>任务状态与业务状态分离；消息消费幂等。</x:v>
      </x:c>
      <x:c r="K82" s="703" t="str">
        <x:v>原图</x:v>
      </x:c>
      <x:c r="L82" s="703" t="str">
        <x:v>是</x:v>
      </x:c>
      <x:c r="M82" s="703" t="str">
        <x:v>P0</x:v>
      </x:c>
      <x:c r="N82" s="703" t="str">
        <x:v>是</x:v>
      </x:c>
      <x:c r="O82" s="438" t="str">
        <x:v>所有长任务可追踪、重试和进入死信队列。</x:v>
      </x:c>
      <x:c r="P82" s="703" t="str">
        <x:v>未开始</x:v>
      </x:c>
      <x:c r="Q82" s="703" t="str"/>
      <x:c r="R82" s="439" t="str"/>
    </x:row>
    <x:row r="83" ht="34" customHeight="1">
      <x:c r="A83" s="738" t="n">
        <x:v>6</x:v>
      </x:c>
      <x:c r="B83" s="739" t="str">
        <x:v>平台控制面</x:v>
      </x:c>
      <x:c r="C83" s="599" t="str">
        <x:v>认证授权</x:v>
      </x:c>
      <x:c r="D83" s="599" t="str">
        <x:v>认证授权 / RBAC</x:v>
      </x:c>
      <x:c r="E83" s="599" t="str">
        <x:v>管理用户、角色和敏感操作权限。</x:v>
      </x:c>
      <x:c r="F83" s="615" t="str">
        <x:v>安全</x:v>
      </x:c>
      <x:c r="G83" s="599" t="str">
        <x:v>identity、role</x:v>
      </x:c>
      <x:c r="H83" s="599" t="str">
        <x:v>access decision</x:v>
      </x:c>
      <x:c r="I83" s="599" t="str">
        <x:v>SSO/OAuth2、API Gateway</x:v>
      </x:c>
      <x:c r="J83" s="599" t="str">
        <x:v>V1可先单管理员，正式执行前必须认证。</x:v>
      </x:c>
      <x:c r="K83" s="615" t="str">
        <x:v>原图</x:v>
      </x:c>
      <x:c r="L83" s="615" t="str">
        <x:v>否</x:v>
      </x:c>
      <x:c r="M83" s="615" t="str">
        <x:v>P1</x:v>
      </x:c>
      <x:c r="N83" s="615" t="str">
        <x:v>否</x:v>
      </x:c>
      <x:c r="O83" s="599" t="str">
        <x:v>资产审核、资源管理和执行权限可分离。</x:v>
      </x:c>
      <x:c r="P83" s="615" t="str">
        <x:v>未开始</x:v>
      </x:c>
      <x:c r="Q83" s="615" t="str"/>
      <x:c r="R83" s="600" t="str"/>
    </x:row>
    <x:row r="84" ht="34" customHeight="1">
      <x:c r="A84" s="740" t="n">
        <x:v>6</x:v>
      </x:c>
      <x:c r="B84" s="741" t="str">
        <x:v>平台控制面</x:v>
      </x:c>
      <x:c r="C84" s="438" t="str">
        <x:v>灰度</x:v>
      </x:c>
      <x:c r="D84" s="438" t="str">
        <x:v>Feature Flag / 灰度切换</x:v>
      </x:c>
      <x:c r="E84" s="438" t="str">
        <x:v>支持V2链路灰度、回退和策略开关。</x:v>
      </x:c>
      <x:c r="F84" s="703" t="str">
        <x:v>治理</x:v>
      </x:c>
      <x:c r="G84" s="438" t="str">
        <x:v>project/user context</x:v>
      </x:c>
      <x:c r="H84" s="438" t="str">
        <x:v>flag decision</x:v>
      </x:c>
      <x:c r="I84" s="438" t="str">
        <x:v>配置中心、审计</x:v>
      </x:c>
      <x:c r="J84" s="438" t="str">
        <x:v>迁移期旧链必须可控冻结和回退。</x:v>
      </x:c>
      <x:c r="K84" s="703" t="str">
        <x:v>原图</x:v>
      </x:c>
      <x:c r="L84" s="703" t="str">
        <x:v>是</x:v>
      </x:c>
      <x:c r="M84" s="703" t="str">
        <x:v>P0</x:v>
      </x:c>
      <x:c r="N84" s="703" t="str">
        <x:v>是</x:v>
      </x:c>
      <x:c r="O84" s="438" t="str">
        <x:v>可按项目切换V2而无需重新部署。</x:v>
      </x:c>
      <x:c r="P84" s="703" t="str">
        <x:v>未开始</x:v>
      </x:c>
      <x:c r="Q84" s="703" t="str"/>
      <x:c r="R84" s="439" t="str"/>
    </x:row>
    <x:row r="85" ht="34" customHeight="1">
      <x:c r="A85" s="738" t="n">
        <x:v>6</x:v>
      </x:c>
      <x:c r="B85" s="739" t="str">
        <x:v>平台控制面</x:v>
      </x:c>
      <x:c r="C85" s="599" t="str">
        <x:v>API治理</x:v>
      </x:c>
      <x:c r="D85" s="599" t="str">
        <x:v>API Gateway / BFF</x:v>
      </x:c>
      <x:c r="E85" s="599" t="str">
        <x:v>提供路由、认证、限流、错误码和前端聚合。</x:v>
      </x:c>
      <x:c r="F85" s="615" t="str">
        <x:v>入口</x:v>
      </x:c>
      <x:c r="G85" s="599" t="str">
        <x:v>client request</x:v>
      </x:c>
      <x:c r="H85" s="599" t="str">
        <x:v>internal service request/response</x:v>
      </x:c>
      <x:c r="I85" s="599" t="str">
        <x:v>认证、监控</x:v>
      </x:c>
      <x:c r="J85" s="599" t="str">
        <x:v>BFF不得承载核心业务逻辑。</x:v>
      </x:c>
      <x:c r="K85" s="615" t="str">
        <x:v>原图</x:v>
      </x:c>
      <x:c r="L85" s="615" t="str">
        <x:v>是</x:v>
      </x:c>
      <x:c r="M85" s="615" t="str">
        <x:v>P1</x:v>
      </x:c>
      <x:c r="N85" s="615" t="str">
        <x:v>否</x:v>
      </x:c>
      <x:c r="O85" s="599" t="str">
        <x:v>前端不直接耦合内部服务结构。</x:v>
      </x:c>
      <x:c r="P85" s="615" t="str">
        <x:v>未开始</x:v>
      </x:c>
      <x:c r="Q85" s="615" t="str"/>
      <x:c r="R85" s="600" t="str"/>
    </x:row>
    <x:row r="86" ht="34" customHeight="1">
      <x:c r="A86" s="740" t="n">
        <x:v>6</x:v>
      </x:c>
      <x:c r="B86" s="741" t="str">
        <x:v>平台控制面</x:v>
      </x:c>
      <x:c r="C86" s="438" t="str">
        <x:v>通知</x:v>
      </x:c>
      <x:c r="D86" s="438" t="str">
        <x:v>通知中心</x:v>
      </x:c>
      <x:c r="E86" s="438" t="str">
        <x:v>通知生成、转换、批量操作和清理失败结果。</x:v>
      </x:c>
      <x:c r="F86" s="703" t="str">
        <x:v>补充服务</x:v>
      </x:c>
      <x:c r="G86" s="438" t="str">
        <x:v>domain events</x:v>
      </x:c>
      <x:c r="H86" s="438" t="str">
        <x:v>站内/邮件通知</x:v>
      </x:c>
      <x:c r="I86" s="438" t="str">
        <x:v>事件总线、用户</x:v>
      </x:c>
      <x:c r="J86" s="438" t="str">
        <x:v>通知失败不影响业务事务。</x:v>
      </x:c>
      <x:c r="K86" s="703" t="str">
        <x:v>补充</x:v>
      </x:c>
      <x:c r="L86" s="703" t="str">
        <x:v>否</x:v>
      </x:c>
      <x:c r="M86" s="703" t="str">
        <x:v>P2</x:v>
      </x:c>
      <x:c r="N86" s="703" t="str">
        <x:v>否</x:v>
      </x:c>
      <x:c r="O86" s="438" t="str">
        <x:v>关键异步结果可被用户感知。</x:v>
      </x:c>
      <x:c r="P86" s="703" t="str">
        <x:v>未开始</x:v>
      </x:c>
      <x:c r="Q86" s="703" t="str"/>
      <x:c r="R86" s="439" t="str"/>
    </x:row>
    <x:row r="87" ht="34" customHeight="1">
      <x:c r="A87" s="738" t="n">
        <x:v>6</x:v>
      </x:c>
      <x:c r="B87" s="739" t="str">
        <x:v>平台控制面</x:v>
      </x:c>
      <x:c r="C87" s="599" t="str">
        <x:v>限额</x:v>
      </x:c>
      <x:c r="D87" s="599" t="str">
        <x:v>配额与限流</x:v>
      </x:c>
      <x:c r="E87" s="599" t="str">
        <x:v>管理AI调用、批量入库、转换和执行资源配额。</x:v>
      </x:c>
      <x:c r="F87" s="615" t="str">
        <x:v>补充治理</x:v>
      </x:c>
      <x:c r="G87" s="599" t="str">
        <x:v>project plan、usage</x:v>
      </x:c>
      <x:c r="H87" s="599" t="str">
        <x:v>quota decision</x:v>
      </x:c>
      <x:c r="I87" s="599" t="str">
        <x:v>API Gateway、调度</x:v>
      </x:c>
      <x:c r="J87" s="599" t="str">
        <x:v>配额策略需可解释并项目隔离。</x:v>
      </x:c>
      <x:c r="K87" s="615" t="str">
        <x:v>补充</x:v>
      </x:c>
      <x:c r="L87" s="615" t="str">
        <x:v>否</x:v>
      </x:c>
      <x:c r="M87" s="615" t="str">
        <x:v>P2</x:v>
      </x:c>
      <x:c r="N87" s="615" t="str">
        <x:v>否</x:v>
      </x:c>
      <x:c r="O87" s="599" t="str">
        <x:v>避免单项目耗尽平台资源。</x:v>
      </x:c>
      <x:c r="P87" s="615" t="str">
        <x:v>未开始</x:v>
      </x:c>
      <x:c r="Q87" s="615" t="str"/>
      <x:c r="R87" s="600" t="str"/>
    </x:row>
    <x:row r="88" ht="34" customHeight="1">
      <x:c r="A88" s="740" t="n">
        <x:v>6</x:v>
      </x:c>
      <x:c r="B88" s="741" t="str">
        <x:v>平台控制面</x:v>
      </x:c>
      <x:c r="C88" s="438" t="str">
        <x:v>业务指标</x:v>
      </x:c>
      <x:c r="D88" s="438" t="str">
        <x:v>平台业务指标目录</x:v>
      </x:c>
      <x:c r="E88" s="438" t="str">
        <x:v>统一定义入库量、去重率、转换成功率和执行通过率。</x:v>
      </x:c>
      <x:c r="F88" s="703" t="str">
        <x:v>补充运维</x:v>
      </x:c>
      <x:c r="G88" s="438" t="str">
        <x:v>domain metrics</x:v>
      </x:c>
      <x:c r="H88" s="438" t="str">
        <x:v>Dashboard</x:v>
      </x:c>
      <x:c r="I88" s="438" t="str">
        <x:v>监控平台</x:v>
      </x:c>
      <x:c r="J88" s="438" t="str">
        <x:v>指标口径需稳定并可追溯。</x:v>
      </x:c>
      <x:c r="K88" s="703" t="str">
        <x:v>补充</x:v>
      </x:c>
      <x:c r="L88" s="703" t="str">
        <x:v>是</x:v>
      </x:c>
      <x:c r="M88" s="703" t="str">
        <x:v>P1</x:v>
      </x:c>
      <x:c r="N88" s="703" t="str">
        <x:v>否</x:v>
      </x:c>
      <x:c r="O88" s="438" t="str">
        <x:v>管理者可查看各阶段漏斗。</x:v>
      </x:c>
      <x:c r="P88" s="703" t="str">
        <x:v>未开始</x:v>
      </x:c>
      <x:c r="Q88" s="703" t="str"/>
      <x:c r="R88" s="439" t="str"/>
    </x:row>
    <x:row r="89" ht="34" customHeight="1">
      <x:c r="A89" s="742" t="n">
        <x:v>7</x:v>
      </x:c>
      <x:c r="B89" s="743" t="str">
        <x:v>技术基础设施域</x:v>
      </x:c>
      <x:c r="C89" s="599" t="str">
        <x:v>容器</x:v>
      </x:c>
      <x:c r="D89" s="599" t="str">
        <x:v>容器平台</x:v>
      </x:c>
      <x:c r="E89" s="599" t="str">
        <x:v>提供 Docker/Kubernetes 运行、隔离和伸缩。</x:v>
      </x:c>
      <x:c r="F89" s="615" t="str">
        <x:v>基础设施</x:v>
      </x:c>
      <x:c r="G89" s="599" t="str">
        <x:v>service images</x:v>
      </x:c>
      <x:c r="H89" s="599" t="str">
        <x:v>runtime workloads</x:v>
      </x:c>
      <x:c r="I89" s="599" t="str">
        <x:v>CI/CD、监控</x:v>
      </x:c>
      <x:c r="J89" s="599" t="str">
        <x:v>镜像不得内置配置和密钥。</x:v>
      </x:c>
      <x:c r="K89" s="615" t="str">
        <x:v>原图</x:v>
      </x:c>
      <x:c r="L89" s="615" t="str">
        <x:v>是</x:v>
      </x:c>
      <x:c r="M89" s="615" t="str">
        <x:v>P0</x:v>
      </x:c>
      <x:c r="N89" s="615" t="str">
        <x:v>是</x:v>
      </x:c>
      <x:c r="O89" s="599" t="str">
        <x:v>服务具备健康检查、资源限制和滚动发布。</x:v>
      </x:c>
      <x:c r="P89" s="615" t="str">
        <x:v>未开始</x:v>
      </x:c>
      <x:c r="Q89" s="615" t="str"/>
      <x:c r="R89" s="600" t="str"/>
    </x:row>
    <x:row r="90" ht="34" customHeight="1">
      <x:c r="A90" s="744" t="n">
        <x:v>7</x:v>
      </x:c>
      <x:c r="B90" s="745" t="str">
        <x:v>技术基础设施域</x:v>
      </x:c>
      <x:c r="C90" s="444" t="str">
        <x:v>存储</x:v>
      </x:c>
      <x:c r="D90" s="444" t="str">
        <x:v>存储层</x:v>
      </x:c>
      <x:c r="E90" s="444" t="str">
        <x:v>提供 MySQL、Redis、对象存储等能力。</x:v>
      </x:c>
      <x:c r="F90" s="717" t="str">
        <x:v>基础设施</x:v>
      </x:c>
      <x:c r="G90" s="444" t="str">
        <x:v>业务数据、缓存、文件</x:v>
      </x:c>
      <x:c r="H90" s="444" t="str">
        <x:v>persistent storage</x:v>
      </x:c>
      <x:c r="I90" s="444" t="str">
        <x:v>备份、监控</x:v>
      </x:c>
      <x:c r="J90" s="444" t="str">
        <x:v>不同数据类型使用适合的存储，禁止大文件入DB。</x:v>
      </x:c>
      <x:c r="K90" s="717" t="str">
        <x:v>原图</x:v>
      </x:c>
      <x:c r="L90" s="717" t="str">
        <x:v>是</x:v>
      </x:c>
      <x:c r="M90" s="717" t="str">
        <x:v>P0</x:v>
      </x:c>
      <x:c r="N90" s="717" t="str">
        <x:v>是</x:v>
      </x:c>
      <x:c r="O90" s="444" t="str">
        <x:v>核心数据可持久化、索引和恢复。</x:v>
      </x:c>
      <x:c r="P90" s="717" t="str">
        <x:v>未开始</x:v>
      </x:c>
      <x:c r="Q90" s="717" t="str"/>
      <x:c r="R90" s="445" t="str"/>
    </x:row>
    <x:row r="91" ht="34" customHeight="1">
      <x:c r="A91" s="742" t="n">
        <x:v>7</x:v>
      </x:c>
      <x:c r="B91" s="743" t="str">
        <x:v>技术基础设施域</x:v>
      </x:c>
      <x:c r="C91" s="599" t="str">
        <x:v>数据库</x:v>
      </x:c>
      <x:c r="D91" s="599" t="str">
        <x:v>数据库迁移与Schema治理</x:v>
      </x:c>
      <x:c r="E91" s="599" t="str">
        <x:v>建立版本化迁移、索引和回滚规范。</x:v>
      </x:c>
      <x:c r="F91" s="615" t="str">
        <x:v>补充基础设施</x:v>
      </x:c>
      <x:c r="G91" s="599" t="str">
        <x:v>schema change</x:v>
      </x:c>
      <x:c r="H91" s="599" t="str">
        <x:v>migration artifacts</x:v>
      </x:c>
      <x:c r="I91" s="599" t="str">
        <x:v>CI/CD、备份</x:v>
      </x:c>
      <x:c r="J91" s="599" t="str">
        <x:v>所有Schema变更必须通过迁移。</x:v>
      </x:c>
      <x:c r="K91" s="615" t="str">
        <x:v>补充</x:v>
      </x:c>
      <x:c r="L91" s="615" t="str">
        <x:v>是</x:v>
      </x:c>
      <x:c r="M91" s="615" t="str">
        <x:v>P0</x:v>
      </x:c>
      <x:c r="N91" s="615" t="str">
        <x:v>是</x:v>
      </x:c>
      <x:c r="O91" s="599" t="str">
        <x:v>新环境可从零部署，旧环境可安全升级。</x:v>
      </x:c>
      <x:c r="P91" s="615" t="str">
        <x:v>未开始</x:v>
      </x:c>
      <x:c r="Q91" s="615" t="str"/>
      <x:c r="R91" s="600" t="str"/>
    </x:row>
    <x:row r="92" ht="34" customHeight="1">
      <x:c r="A92" s="744" t="n">
        <x:v>7</x:v>
      </x:c>
      <x:c r="B92" s="745" t="str">
        <x:v>技术基础设施域</x:v>
      </x:c>
      <x:c r="C92" s="444" t="str">
        <x:v>对象存储</x:v>
      </x:c>
      <x:c r="D92" s="444" t="str">
        <x:v>对象生命周期与访问控制</x:v>
      </x:c>
      <x:c r="E92" s="444" t="str">
        <x:v>管理文档、证据、报告的路径、权限和保留周期。</x:v>
      </x:c>
      <x:c r="F92" s="717" t="str">
        <x:v>补充基础设施</x:v>
      </x:c>
      <x:c r="G92" s="444" t="str">
        <x:v>objects</x:v>
      </x:c>
      <x:c r="H92" s="444" t="str">
        <x:v>object refs/lifecycle</x:v>
      </x:c>
      <x:c r="I92" s="444" t="str">
        <x:v>存储层、认证</x:v>
      </x:c>
      <x:c r="J92" s="444" t="str">
        <x:v>敏感对象需授权和脱敏。</x:v>
      </x:c>
      <x:c r="K92" s="717" t="str">
        <x:v>补充</x:v>
      </x:c>
      <x:c r="L92" s="717" t="str">
        <x:v>是</x:v>
      </x:c>
      <x:c r="M92" s="717" t="str">
        <x:v>P1</x:v>
      </x:c>
      <x:c r="N92" s="717" t="str">
        <x:v>否</x:v>
      </x:c>
      <x:c r="O92" s="444" t="str">
        <x:v>对象可按业务ID追踪和清理。</x:v>
      </x:c>
      <x:c r="P92" s="717" t="str">
        <x:v>未开始</x:v>
      </x:c>
      <x:c r="Q92" s="717" t="str"/>
      <x:c r="R92" s="445" t="str"/>
    </x:row>
    <x:row r="93" ht="34" customHeight="1">
      <x:c r="A93" s="742" t="n">
        <x:v>7</x:v>
      </x:c>
      <x:c r="B93" s="743" t="str">
        <x:v>技术基础设施域</x:v>
      </x:c>
      <x:c r="C93" s="599" t="str">
        <x:v>消息任务</x:v>
      </x:c>
      <x:c r="D93" s="599" t="str">
        <x:v>消息与任务基础设施</x:v>
      </x:c>
      <x:c r="E93" s="599" t="str">
        <x:v>提供 Kafka/RabbitMQ/Worker、重试和死信。</x:v>
      </x:c>
      <x:c r="F93" s="615" t="str">
        <x:v>基础设施</x:v>
      </x:c>
      <x:c r="G93" s="599" t="str">
        <x:v>events/jobs</x:v>
      </x:c>
      <x:c r="H93" s="599" t="str">
        <x:v>queued work</x:v>
      </x:c>
      <x:c r="I93" s="599" t="str">
        <x:v>Job模型、监控</x:v>
      </x:c>
      <x:c r="J93" s="599" t="str">
        <x:v>消息需幂等，禁止携带大正文和密钥。</x:v>
      </x:c>
      <x:c r="K93" s="615" t="str">
        <x:v>原图</x:v>
      </x:c>
      <x:c r="L93" s="615" t="str">
        <x:v>是</x:v>
      </x:c>
      <x:c r="M93" s="615" t="str">
        <x:v>P0</x:v>
      </x:c>
      <x:c r="N93" s="615" t="str">
        <x:v>是</x:v>
      </x:c>
      <x:c r="O93" s="599" t="str">
        <x:v>重复消息不会产生重复资产或执行。</x:v>
      </x:c>
      <x:c r="P93" s="615" t="str">
        <x:v>未开始</x:v>
      </x:c>
      <x:c r="Q93" s="615" t="str"/>
      <x:c r="R93" s="600" t="str"/>
    </x:row>
    <x:row r="94" ht="34" customHeight="1">
      <x:c r="A94" s="744" t="n">
        <x:v>7</x:v>
      </x:c>
      <x:c r="B94" s="745" t="str">
        <x:v>技术基础设施域</x:v>
      </x:c>
      <x:c r="C94" s="444" t="str">
        <x:v>CI/CD</x:v>
      </x:c>
      <x:c r="D94" s="444" t="str">
        <x:v>CI/CD</x:v>
      </x:c>
      <x:c r="E94" s="444" t="str">
        <x:v>实现测试、构建、扫描、部署和回滚。</x:v>
      </x:c>
      <x:c r="F94" s="717" t="str">
        <x:v>基础设施</x:v>
      </x:c>
      <x:c r="G94" s="444" t="str">
        <x:v>source code</x:v>
      </x:c>
      <x:c r="H94" s="444" t="str">
        <x:v>artifacts/deployments</x:v>
      </x:c>
      <x:c r="I94" s="444" t="str">
        <x:v>代码仓库、容器平台</x:v>
      </x:c>
      <x:c r="J94" s="444" t="str">
        <x:v>V2和旧链应独立灰度。</x:v>
      </x:c>
      <x:c r="K94" s="717" t="str">
        <x:v>原图</x:v>
      </x:c>
      <x:c r="L94" s="717" t="str">
        <x:v>是</x:v>
      </x:c>
      <x:c r="M94" s="717" t="str">
        <x:v>P0</x:v>
      </x:c>
      <x:c r="N94" s="717" t="str">
        <x:v>是</x:v>
      </x:c>
      <x:c r="O94" s="444" t="str">
        <x:v>PR自动验证，发布可追踪和回滚。</x:v>
      </x:c>
      <x:c r="P94" s="717" t="str">
        <x:v>未开始</x:v>
      </x:c>
      <x:c r="Q94" s="717" t="str"/>
      <x:c r="R94" s="445" t="str"/>
    </x:row>
    <x:row r="95" ht="34" customHeight="1">
      <x:c r="A95" s="742" t="n">
        <x:v>7</x:v>
      </x:c>
      <x:c r="B95" s="743" t="str">
        <x:v>技术基础设施域</x:v>
      </x:c>
      <x:c r="C95" s="599" t="str">
        <x:v>质量保障</x:v>
      </x:c>
      <x:c r="D95" s="599" t="str">
        <x:v>自动化测试与架构守卫</x:v>
      </x:c>
      <x:c r="E95" s="599" t="str">
        <x:v>提供单测、集成、契约和架构测试。</x:v>
      </x:c>
      <x:c r="F95" s="615" t="str">
        <x:v>补充测试</x:v>
      </x:c>
      <x:c r="G95" s="599" t="str">
        <x:v>code/contracts</x:v>
      </x:c>
      <x:c r="H95" s="599" t="str">
        <x:v>test reports</x:v>
      </x:c>
      <x:c r="I95" s="599" t="str">
        <x:v>CI/CD</x:v>
      </x:c>
      <x:c r="J95" s="599" t="str">
        <x:v>架构测试应禁止生成侧导入转换/编译模块。</x:v>
      </x:c>
      <x:c r="K95" s="615" t="str">
        <x:v>补充</x:v>
      </x:c>
      <x:c r="L95" s="615" t="str">
        <x:v>是</x:v>
      </x:c>
      <x:c r="M95" s="615" t="str">
        <x:v>P0</x:v>
      </x:c>
      <x:c r="N95" s="615" t="str">
        <x:v>是</x:v>
      </x:c>
      <x:c r="O95" s="599" t="str">
        <x:v>违规依赖在CI中直接失败。</x:v>
      </x:c>
      <x:c r="P95" s="615" t="str">
        <x:v>未开始</x:v>
      </x:c>
      <x:c r="Q95" s="615" t="str"/>
      <x:c r="R95" s="600" t="str"/>
    </x:row>
    <x:row r="96" ht="34" customHeight="1">
      <x:c r="A96" s="744" t="n">
        <x:v>7</x:v>
      </x:c>
      <x:c r="B96" s="745" t="str">
        <x:v>技术基础设施域</x:v>
      </x:c>
      <x:c r="C96" s="444" t="str">
        <x:v>可观测性</x:v>
      </x:c>
      <x:c r="D96" s="444" t="str">
        <x:v>可观测性</x:v>
      </x:c>
      <x:c r="E96" s="444" t="str">
        <x:v>提供 Metrics、Logs、Traces 和告警。</x:v>
      </x:c>
      <x:c r="F96" s="717" t="str">
        <x:v>基础设施</x:v>
      </x:c>
      <x:c r="G96" s="444" t="str">
        <x:v>service telemetry</x:v>
      </x:c>
      <x:c r="H96" s="444" t="str">
        <x:v>dashboard/alerts</x:v>
      </x:c>
      <x:c r="I96" s="444" t="str">
        <x:v>Prometheus/Grafana/OTel</x:v>
      </x:c>
      <x:c r="J96" s="444" t="str">
        <x:v>统一trace字段，日志脱敏。</x:v>
      </x:c>
      <x:c r="K96" s="717" t="str">
        <x:v>原图</x:v>
      </x:c>
      <x:c r="L96" s="717" t="str">
        <x:v>是</x:v>
      </x:c>
      <x:c r="M96" s="717" t="str">
        <x:v>P0</x:v>
      </x:c>
      <x:c r="N96" s="717" t="str">
        <x:v>是</x:v>
      </x:c>
      <x:c r="O96" s="444" t="str">
        <x:v>可定位跨服务生成、转换和执行链路。</x:v>
      </x:c>
      <x:c r="P96" s="717" t="str">
        <x:v>未开始</x:v>
      </x:c>
      <x:c r="Q96" s="717" t="str"/>
      <x:c r="R96" s="445" t="str"/>
    </x:row>
    <x:row r="97" ht="34" customHeight="1">
      <x:c r="A97" s="742" t="n">
        <x:v>7</x:v>
      </x:c>
      <x:c r="B97" s="743" t="str">
        <x:v>技术基础设施域</x:v>
      </x:c>
      <x:c r="C97" s="599" t="str">
        <x:v>配置</x:v>
      </x:c>
      <x:c r="D97" s="599" t="str">
        <x:v>配置中心</x:v>
      </x:c>
      <x:c r="E97" s="599" t="str">
        <x:v>统一管理模型、阈值、策略、服务地址和Feature Flag。</x:v>
      </x:c>
      <x:c r="F97" s="615" t="str">
        <x:v>基础设施</x:v>
      </x:c>
      <x:c r="G97" s="599" t="str">
        <x:v>config values</x:v>
      </x:c>
      <x:c r="H97" s="599" t="str">
        <x:v>versioned config</x:v>
      </x:c>
      <x:c r="I97" s="599" t="str">
        <x:v>审计、环境</x:v>
      </x:c>
      <x:c r="J97" s="599" t="str">
        <x:v>配置按环境隔离并可回滚。</x:v>
      </x:c>
      <x:c r="K97" s="615" t="str">
        <x:v>原图</x:v>
      </x:c>
      <x:c r="L97" s="615" t="str">
        <x:v>否</x:v>
      </x:c>
      <x:c r="M97" s="615" t="str">
        <x:v>P1</x:v>
      </x:c>
      <x:c r="N97" s="615" t="str">
        <x:v>否</x:v>
      </x:c>
      <x:c r="O97" s="599" t="str">
        <x:v>关键配置变更可追踪。</x:v>
      </x:c>
      <x:c r="P97" s="615" t="str">
        <x:v>未开始</x:v>
      </x:c>
      <x:c r="Q97" s="615" t="str"/>
      <x:c r="R97" s="600" t="str"/>
    </x:row>
    <x:row r="98" ht="34" customHeight="1">
      <x:c r="A98" s="744" t="n">
        <x:v>7</x:v>
      </x:c>
      <x:c r="B98" s="745" t="str">
        <x:v>技术基础设施域</x:v>
      </x:c>
      <x:c r="C98" s="444" t="str">
        <x:v>密钥</x:v>
      </x:c>
      <x:c r="D98" s="444" t="str">
        <x:v>密钥基础设施</x:v>
      </x:c>
      <x:c r="E98" s="444" t="str">
        <x:v>使用 Vault/KMS 保存和轮换敏感信息。</x:v>
      </x:c>
      <x:c r="F98" s="717" t="str">
        <x:v>基础设施</x:v>
      </x:c>
      <x:c r="G98" s="444" t="str">
        <x:v>secret material</x:v>
      </x:c>
      <x:c r="H98" s="444" t="str">
        <x:v>runtime secret injection</x:v>
      </x:c>
      <x:c r="I98" s="444" t="str">
        <x:v>凭证中心、审计</x:v>
      </x:c>
      <x:c r="J98" s="444" t="str">
        <x:v>代码库、配置中心和普通DB不得存明文密钥。</x:v>
      </x:c>
      <x:c r="K98" s="717" t="str">
        <x:v>原图</x:v>
      </x:c>
      <x:c r="L98" s="717" t="str">
        <x:v>否</x:v>
      </x:c>
      <x:c r="M98" s="717" t="str">
        <x:v>P1</x:v>
      </x:c>
      <x:c r="N98" s="717" t="str">
        <x:v>否</x:v>
      </x:c>
      <x:c r="O98" s="444" t="str">
        <x:v>密钥可轮换且访问有审计。</x:v>
      </x:c>
      <x:c r="P98" s="717" t="str">
        <x:v>未开始</x:v>
      </x:c>
      <x:c r="Q98" s="717" t="str"/>
      <x:c r="R98" s="445" t="str"/>
    </x:row>
    <x:row r="99" ht="34" customHeight="1">
      <x:c r="A99" s="742" t="n">
        <x:v>7</x:v>
      </x:c>
      <x:c r="B99" s="743" t="str">
        <x:v>技术基础设施域</x:v>
      </x:c>
      <x:c r="C99" s="599" t="str">
        <x:v>网络</x:v>
      </x:c>
      <x:c r="D99" s="599" t="str">
        <x:v>服务发现与网络安全</x:v>
      </x:c>
      <x:c r="E99" s="599" t="str">
        <x:v>提供服务发现、TLS、网络策略和入口防护。</x:v>
      </x:c>
      <x:c r="F99" s="615" t="str">
        <x:v>补充基础设施</x:v>
      </x:c>
      <x:c r="G99" s="599" t="str">
        <x:v>service endpoints</x:v>
      </x:c>
      <x:c r="H99" s="599" t="str">
        <x:v>secure connectivity</x:v>
      </x:c>
      <x:c r="I99" s="599" t="str">
        <x:v>K8s、API Gateway</x:v>
      </x:c>
      <x:c r="J99" s="599" t="str">
        <x:v>内部服务也需认证和最小网络权限。</x:v>
      </x:c>
      <x:c r="K99" s="615" t="str">
        <x:v>补充</x:v>
      </x:c>
      <x:c r="L99" s="615" t="str">
        <x:v>否</x:v>
      </x:c>
      <x:c r="M99" s="615" t="str">
        <x:v>P1</x:v>
      </x:c>
      <x:c r="N99" s="615" t="str">
        <x:v>否</x:v>
      </x:c>
      <x:c r="O99" s="599" t="str">
        <x:v>服务间通信可控、加密、可审计。</x:v>
      </x:c>
      <x:c r="P99" s="615" t="str">
        <x:v>未开始</x:v>
      </x:c>
      <x:c r="Q99" s="615" t="str"/>
      <x:c r="R99" s="600" t="str"/>
    </x:row>
    <x:row r="100" ht="34" customHeight="1">
      <x:c r="A100" s="744" t="n">
        <x:v>7</x:v>
      </x:c>
      <x:c r="B100" s="745" t="str">
        <x:v>技术基础设施域</x:v>
      </x:c>
      <x:c r="C100" s="444" t="str">
        <x:v>灾备</x:v>
      </x:c>
      <x:c r="D100" s="444" t="str">
        <x:v>备份与灾难恢复</x:v>
      </x:c>
      <x:c r="E100" s="444" t="str">
        <x:v>定期备份数据库和对象存储并进行恢复演练。</x:v>
      </x:c>
      <x:c r="F100" s="717" t="str">
        <x:v>基础设施</x:v>
      </x:c>
      <x:c r="G100" s="444" t="str">
        <x:v>persistent data</x:v>
      </x:c>
      <x:c r="H100" s="444" t="str">
        <x:v>backup/restore artifacts</x:v>
      </x:c>
      <x:c r="I100" s="444" t="str">
        <x:v>存储、监控</x:v>
      </x:c>
      <x:c r="J100" s="444" t="str">
        <x:v>明确RPO/RTO，备份数据同样需加密。</x:v>
      </x:c>
      <x:c r="K100" s="717" t="str">
        <x:v>原图</x:v>
      </x:c>
      <x:c r="L100" s="717" t="str">
        <x:v>否</x:v>
      </x:c>
      <x:c r="M100" s="717" t="str">
        <x:v>P1</x:v>
      </x:c>
      <x:c r="N100" s="717" t="str">
        <x:v>否</x:v>
      </x:c>
      <x:c r="O100" s="444" t="str">
        <x:v>定期恢复演练通过。</x:v>
      </x:c>
      <x:c r="P100" s="717" t="str">
        <x:v>未开始</x:v>
      </x:c>
      <x:c r="Q100" s="717" t="str"/>
      <x:c r="R100" s="445" t="str"/>
    </x:row>
    <x:row r="101" ht="34" customHeight="1">
      <x:c r="A101" s="742" t="n">
        <x:v>7</x:v>
      </x:c>
      <x:c r="B101" s="743" t="str">
        <x:v>技术基础设施域</x:v>
      </x:c>
      <x:c r="C101" s="599" t="str">
        <x:v>容量</x:v>
      </x:c>
      <x:c r="D101" s="599" t="str">
        <x:v>SLO、容量与成本治理</x:v>
      </x:c>
      <x:c r="E101" s="599" t="str">
        <x:v>定义可用性、延迟、容量、扩缩容和成本指标。</x:v>
      </x:c>
      <x:c r="F101" s="615" t="str">
        <x:v>补充治理</x:v>
      </x:c>
      <x:c r="G101" s="599" t="str">
        <x:v>usage metrics</x:v>
      </x:c>
      <x:c r="H101" s="599" t="str">
        <x:v>SLO/capacity plan</x:v>
      </x:c>
      <x:c r="I101" s="599" t="str">
        <x:v>监控、K8s、配额</x:v>
      </x:c>
      <x:c r="J101" s="599" t="str">
        <x:v>先以真实负载迭代，避免过度建设。</x:v>
      </x:c>
      <x:c r="K101" s="615" t="str">
        <x:v>补充</x:v>
      </x:c>
      <x:c r="L101" s="615" t="str">
        <x:v>否</x:v>
      </x:c>
      <x:c r="M101" s="615" t="str">
        <x:v>P2</x:v>
      </x:c>
      <x:c r="N101" s="615" t="str">
        <x:v>否</x:v>
      </x:c>
      <x:c r="O101" s="599" t="str">
        <x:v>核心服务有容量基线和告警阈值。</x:v>
      </x:c>
      <x:c r="P101" s="615" t="str">
        <x:v>未开始</x:v>
      </x:c>
      <x:c r="Q101" s="615" t="str"/>
      <x:c r="R101" s="600" t="str"/>
    </x:row>
    <x:row r="102" ht="34" customHeight="1">
      <x:c r="A102" s="744" t="n">
        <x:v>7</x:v>
      </x:c>
      <x:c r="B102" s="745" t="str">
        <x:v>技术基础设施域</x:v>
      </x:c>
      <x:c r="C102" s="444" t="str">
        <x:v>安全</x:v>
      </x:c>
      <x:c r="D102" s="444" t="str">
        <x:v>依赖与镜像安全扫描</x:v>
      </x:c>
      <x:c r="E102" s="444" t="str">
        <x:v>扫描依赖漏洞、镜像风险和许可证问题。</x:v>
      </x:c>
      <x:c r="F102" s="717" t="str">
        <x:v>补充安全</x:v>
      </x:c>
      <x:c r="G102" s="444" t="str">
        <x:v>code/image</x:v>
      </x:c>
      <x:c r="H102" s="444" t="str">
        <x:v>security scan report</x:v>
      </x:c>
      <x:c r="I102" s="444" t="str">
        <x:v>CI/CD</x:v>
      </x:c>
      <x:c r="J102" s="444" t="str">
        <x:v>高危漏洞阻断发布。</x:v>
      </x:c>
      <x:c r="K102" s="717" t="str">
        <x:v>补充</x:v>
      </x:c>
      <x:c r="L102" s="717" t="str">
        <x:v>否</x:v>
      </x:c>
      <x:c r="M102" s="717" t="str">
        <x:v>P1</x:v>
      </x:c>
      <x:c r="N102" s="717" t="str">
        <x:v>否</x:v>
      </x:c>
      <x:c r="O102" s="444" t="str">
        <x:v>发布制品通过安全基线。</x:v>
      </x:c>
      <x:c r="P102" s="717" t="str">
        <x:v>未开始</x:v>
      </x:c>
      <x:c r="Q102" s="717" t="str"/>
      <x:c r="R102" s="445" t="str"/>
    </x:row>
  </x:sheetData>
  <x:mergeCells>
    <x:mergeCell ref="A1:R1"/>
  </x:mergeCells>
  <x:conditionalFormatting sqref="K4:K102">
    <x:cfRule type="expression" dxfId="26" priority="1">
      <x:formula>K4="补充"</x:formula>
    </x:cfRule>
    <x:cfRule type="expression" dxfId="27" priority="2">
      <x:formula>K4="原图"</x:formula>
    </x:cfRule>
  </x:conditionalFormatting>
  <x:conditionalFormatting sqref="L4:L102">
    <x:cfRule type="expression" dxfId="28" priority="3">
      <x:formula>L4="是"</x:formula>
    </x:cfRule>
    <x:cfRule type="expression" dxfId="29" priority="4">
      <x:formula>L4="否"</x:formula>
    </x:cfRule>
  </x:conditionalFormatting>
  <x:conditionalFormatting sqref="M4:M102">
    <x:cfRule type="expression" dxfId="30" priority="5">
      <x:formula>M4="P0"</x:formula>
    </x:cfRule>
    <x:cfRule type="expression" dxfId="31" priority="6">
      <x:formula>M4="P1"</x:formula>
    </x:cfRule>
    <x:cfRule type="expression" dxfId="32" priority="7">
      <x:formula>M4="P2"</x:formula>
    </x:cfRule>
  </x:conditionalFormatting>
  <x:conditionalFormatting sqref="N4:N102">
    <x:cfRule type="expression" dxfId="33" priority="8">
      <x:formula>N4="是"</x:formula>
    </x:cfRule>
    <x:cfRule type="expression" dxfId="34" priority="9">
      <x:formula>N4="否"</x:formula>
    </x:cfRule>
  </x:conditionalFormatting>
  <x:conditionalFormatting sqref="P4:P102">
    <x:cfRule type="expression" dxfId="35" priority="10">
      <x:formula>P4="未开始"</x:formula>
    </x:cfRule>
    <x:cfRule type="expression" dxfId="36" priority="11">
      <x:formula>P4="进行中"</x:formula>
    </x:cfRule>
    <x:cfRule type="expression" dxfId="37" priority="12">
      <x:formula>P4="阻塞"</x:formula>
    </x:cfRule>
    <x:cfRule type="expression" dxfId="38" priority="13">
      <x:formula>P4="已完成"</x:formula>
    </x:cfRule>
    <x:cfRule type="expression" dxfId="39" priority="14">
      <x:formula>P4="已取消"</x:formula>
    </x:cfRule>
  </x:conditionalFormatting>
  <x:dataValidations count="5">
    <x:dataValidation type="list" sqref="K4:K102">
      <x:formula1>"原图,补充"</x:formula1>
    </x:dataValidation>
    <x:dataValidation type="list" sqref="L4:L102">
      <x:formula1>"是,否"</x:formula1>
    </x:dataValidation>
    <x:dataValidation type="list" sqref="M4:M102">
      <x:formula1>"P0,P1,P2"</x:formula1>
    </x:dataValidation>
    <x:dataValidation type="list" sqref="N4:N102">
      <x:formula1>"是,否"</x:formula1>
    </x:dataValidation>
    <x:dataValidation type="list" sqref="P4:P102">
      <x:formula1>"未开始,进行中,阻塞,已完成,已取消"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3a713d49e748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24" t="str">
        <x:v>1. 多元输入与自然语言生成域</x:v>
      </x:c>
      <x:c r="B1" s="625"/>
      <x:c r="C1" s="625"/>
      <x:c r="D1" s="625"/>
      <x:c r="E1" s="625"/>
      <x:c r="F1" s="625"/>
      <x:c r="G1" s="625"/>
      <x:c r="H1" s="625"/>
      <x:c r="I1" s="625"/>
      <x:c r="J1" s="625"/>
      <x:c r="K1" s="625"/>
      <x:c r="L1" s="625"/>
      <x:c r="M1" s="625"/>
      <x:c r="N1" s="625"/>
      <x:c r="O1" s="625"/>
      <x:c r="P1" s="625"/>
      <x:c r="Q1" s="625"/>
      <x:c r="R1" s="626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1</x:v>
      </x:c>
      <x:c r="B4" s="599" t="str">
        <x:v>多元输入与自然语言生成域</x:v>
      </x:c>
      <x:c r="C4" s="599" t="str">
        <x:v>统一入口</x:v>
      </x:c>
      <x:c r="D4" s="599" t="str">
        <x:v>Web 前端 / API / CI 调用</x:v>
      </x:c>
      <x:c r="E4" s="599" t="str">
        <x:v>统一接收 Web、API、CI 等触发请求，并建立标准请求上下文。</x:v>
      </x:c>
      <x:c r="F4" s="615" t="str">
        <x:v>入口</x:v>
      </x:c>
      <x:c r="G4" s="599" t="str">
        <x:v>用户请求、CI事件、API调用</x:v>
      </x:c>
      <x:c r="H4" s="599" t="str">
        <x:v>标准化请求、trace_id、request_id</x:v>
      </x:c>
      <x:c r="I4" s="599" t="str">
        <x:v>API Gateway、认证、项目作用域</x:v>
      </x:c>
      <x:c r="J4" s="599" t="str">
        <x:v>入口不得直接调用结构化或编译模块。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所有入口可映射到统一请求 DTO，且全链路携带 trace_id。</x:v>
      </x:c>
      <x:c r="P4" s="615" t="str">
        <x:v>未开始</x:v>
      </x:c>
      <x:c r="Q4" s="615" t="str"/>
      <x:c r="R4" s="600" t="str"/>
    </x:row>
    <x:row r="5" ht="34" customHeight="1">
      <x:c r="A5" s="636" t="n">
        <x:v>1</x:v>
      </x:c>
      <x:c r="B5" s="631" t="str">
        <x:v>多元输入与自然语言生成域</x:v>
      </x:c>
      <x:c r="C5" s="631" t="str">
        <x:v>输入源</x:v>
      </x:c>
      <x:c r="D5" s="631" t="str">
        <x:v>需求文档 / OpenAPI / 缺陷 / 日志</x:v>
      </x:c>
      <x:c r="E5" s="631" t="str">
        <x:v>接收非结构化或半结构化需求来源。</x:v>
      </x:c>
      <x:c r="F5" s="637" t="str">
        <x:v>输入源</x:v>
      </x:c>
      <x:c r="G5" s="631" t="str">
        <x:v>文件、URL、OpenAPI、缺陷单、日志</x:v>
      </x:c>
      <x:c r="H5" s="631" t="str">
        <x:v>SourceRecord</x:v>
      </x:c>
      <x:c r="I5" s="631" t="str">
        <x:v>对象存储、来源适配器</x:v>
      </x:c>
      <x:c r="J5" s="631" t="str">
        <x:v>原始内容必须保留只读快照；敏感信息需脱敏。</x:v>
      </x:c>
      <x:c r="K5" s="637" t="str">
        <x:v>原图</x:v>
      </x:c>
      <x:c r="L5" s="637" t="str">
        <x:v>是</x:v>
      </x:c>
      <x:c r="M5" s="637" t="str">
        <x:v>P0</x:v>
      </x:c>
      <x:c r="N5" s="637" t="str">
        <x:v>是</x:v>
      </x:c>
      <x:c r="O5" s="631" t="str">
        <x:v>每个来源生成稳定 source_id，可追踪原始内容。</x:v>
      </x:c>
      <x:c r="P5" s="637" t="str">
        <x:v>未开始</x:v>
      </x:c>
      <x:c r="Q5" s="637" t="str"/>
      <x:c r="R5" s="632" t="str"/>
    </x:row>
    <x:row r="6" ht="34" customHeight="1">
      <x:c r="A6" s="613" t="n">
        <x:v>1</x:v>
      </x:c>
      <x:c r="B6" s="599" t="str">
        <x:v>多元输入与自然语言生成域</x:v>
      </x:c>
      <x:c r="C6" s="599" t="str">
        <x:v>输入源</x:v>
      </x:c>
      <x:c r="D6" s="599" t="str">
        <x:v>手工录入 / 批量导入测试资产</x:v>
      </x:c>
      <x:c r="E6" s="599" t="str">
        <x:v>支持人工录入自然语言资产或批量导入已有资产。</x:v>
      </x:c>
      <x:c r="F6" s="615" t="str">
        <x:v>输入源</x:v>
      </x:c>
      <x:c r="G6" s="599" t="str">
        <x:v>表单、Excel/CSV、API Payload</x:v>
      </x:c>
      <x:c r="H6" s="599" t="str">
        <x:v>NaturalLanguageAssetDraft 列表</x:v>
      </x:c>
      <x:c r="I6" s="599" t="str">
        <x:v>统一资产入库服务</x:v>
      </x:c>
      <x:c r="J6" s="599" t="str">
        <x:v>手工输入同样不得绕过统一入库和去重。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手工和批量导入均直接进入资产中心，不产生候选预览。</x:v>
      </x:c>
      <x:c r="P6" s="615" t="str">
        <x:v>未开始</x:v>
      </x:c>
      <x:c r="Q6" s="615" t="str"/>
      <x:c r="R6" s="600" t="str"/>
    </x:row>
    <x:row r="7" ht="34" customHeight="1">
      <x:c r="A7" s="636" t="n">
        <x:v>1</x:v>
      </x:c>
      <x:c r="B7" s="631" t="str">
        <x:v>多元输入与自然语言生成域</x:v>
      </x:c>
      <x:c r="C7" s="631" t="str">
        <x:v>输入适配</x:v>
      </x:c>
      <x:c r="D7" s="631" t="str">
        <x:v>来源适配器注册中心</x:v>
      </x:c>
      <x:c r="E7" s="631" t="str">
        <x:v>统一管理文档、OpenAPI、缺陷、日志等来源适配器。</x:v>
      </x:c>
      <x:c r="F7" s="637" t="str">
        <x:v>补充服务</x:v>
      </x:c>
      <x:c r="G7" s="631" t="str">
        <x:v>source_type、原始来源</x:v>
      </x:c>
      <x:c r="H7" s="631" t="str">
        <x:v>标准化 SourceRecord</x:v>
      </x:c>
      <x:c r="I7" s="631" t="str">
        <x:v>输入源、插件机制</x:v>
      </x:c>
      <x:c r="J7" s="631" t="str">
        <x:v>新增来源只能通过适配器接入，禁止新增独立生成链。</x:v>
      </x:c>
      <x:c r="K7" s="637" t="str">
        <x:v>补充</x:v>
      </x:c>
      <x:c r="L7" s="637" t="str">
        <x:v>否</x:v>
      </x:c>
      <x:c r="M7" s="637" t="str">
        <x:v>P2</x:v>
      </x:c>
      <x:c r="N7" s="637" t="str">
        <x:v>否</x:v>
      </x:c>
      <x:c r="O7" s="631" t="str">
        <x:v>新增来源不修改主链即可接入。</x:v>
      </x:c>
      <x:c r="P7" s="637" t="str">
        <x:v>未开始</x:v>
      </x:c>
      <x:c r="Q7" s="637" t="str"/>
      <x:c r="R7" s="632" t="str"/>
    </x:row>
    <x:row r="8" ht="34" customHeight="1">
      <x:c r="A8" s="613" t="n">
        <x:v>1</x:v>
      </x:c>
      <x:c r="B8" s="599" t="str">
        <x:v>多元输入与自然语言生成域</x:v>
      </x:c>
      <x:c r="C8" s="599" t="str">
        <x:v>文档处理</x:v>
      </x:c>
      <x:c r="D8" s="599" t="str">
        <x:v>文档解析与章节模型</x:v>
      </x:c>
      <x:c r="E8" s="599" t="str">
        <x:v>解析文档内容、标题、章节和段落，建立稳定 section_id。</x:v>
      </x:c>
      <x:c r="F8" s="615" t="str">
        <x:v>补充处理</x:v>
      </x:c>
      <x:c r="G8" s="599" t="str">
        <x:v>source_document_id、文件内容</x:v>
      </x:c>
      <x:c r="H8" s="599" t="str">
        <x:v>DocumentSection 列表、解析状态</x:v>
      </x:c>
      <x:c r="I8" s="599" t="str">
        <x:v>对象存储、异步任务</x:v>
      </x:c>
      <x:c r="J8" s="599" t="str">
        <x:v>章节 ID 由后端生成；解析失败可重试。</x:v>
      </x:c>
      <x:c r="K8" s="615" t="str">
        <x:v>补充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文档章节可被选择并与后续资产建立多对多关联。</x:v>
      </x:c>
      <x:c r="P8" s="615" t="str">
        <x:v>未开始</x:v>
      </x:c>
      <x:c r="Q8" s="615" t="str"/>
      <x:c r="R8" s="600" t="str"/>
    </x:row>
    <x:row r="9" ht="34" customHeight="1">
      <x:c r="A9" s="636" t="n">
        <x:v>1</x:v>
      </x:c>
      <x:c r="B9" s="631" t="str">
        <x:v>多元输入与自然语言生成域</x:v>
      </x:c>
      <x:c r="C9" s="631" t="str">
        <x:v>生成上下文</x:v>
      </x:c>
      <x:c r="D9" s="631" t="str">
        <x:v>生成上下文</x:v>
      </x:c>
      <x:c r="E9" s="631" t="str">
        <x:v>基于项目、需求、文档、章节、页面和批次构建生成范围。</x:v>
      </x:c>
      <x:c r="F9" s="637" t="str">
        <x:v>处理</x:v>
      </x:c>
      <x:c r="G9" s="631" t="str">
        <x:v>project_id、requirement_id、document_id、section_ids、page_ids</x:v>
      </x:c>
      <x:c r="H9" s="631" t="str">
        <x:v>GenerationContext</x:v>
      </x:c>
      <x:c r="I9" s="631" t="str">
        <x:v>项目域、文档章节、页面对象中心</x:v>
      </x:c>
      <x:c r="J9" s="631" t="str">
        <x:v>不得使用固定 default/project/product 等正式默认值。</x:v>
      </x:c>
      <x:c r="K9" s="637" t="str">
        <x:v>原图</x:v>
      </x:c>
      <x:c r="L9" s="637" t="str">
        <x:v>是</x:v>
      </x:c>
      <x:c r="M9" s="637" t="str">
        <x:v>P0</x:v>
      </x:c>
      <x:c r="N9" s="637" t="str">
        <x:v>是</x:v>
      </x:c>
      <x:c r="O9" s="631" t="str">
        <x:v>每次生成前形成完整、可追踪的 GenerationContext。</x:v>
      </x:c>
      <x:c r="P9" s="637" t="str">
        <x:v>未开始</x:v>
      </x:c>
      <x:c r="Q9" s="637" t="str"/>
      <x:c r="R9" s="632" t="str"/>
    </x:row>
    <x:row r="10" ht="34" customHeight="1">
      <x:c r="A10" s="613" t="n">
        <x:v>1</x:v>
      </x:c>
      <x:c r="B10" s="599" t="str">
        <x:v>多元输入与自然语言生成域</x:v>
      </x:c>
      <x:c r="C10" s="599" t="str">
        <x:v>生成上下文</x:v>
      </x:c>
      <x:c r="D10" s="599" t="str">
        <x:v>生成批次管理</x:v>
      </x:c>
      <x:c r="E10" s="599" t="str">
        <x:v>记录一次生成任务的范围、状态、数量和模型调用信息。</x:v>
      </x:c>
      <x:c r="F10" s="615" t="str">
        <x:v>补充服务</x:v>
      </x:c>
      <x:c r="G10" s="599" t="str">
        <x:v>GenerationContext、request_id</x:v>
      </x:c>
      <x:c r="H10" s="599" t="str">
        <x:v>generation_batch_id、批次状态、统计</x:v>
      </x:c>
      <x:c r="I10" s="599" t="str">
        <x:v>统一ID、异步任务</x:v>
      </x:c>
      <x:c r="J10" s="599" t="str">
        <x:v>同一幂等请求必须复用批次或安全返回已有结果。</x:v>
      </x:c>
      <x:c r="K10" s="615" t="str">
        <x:v>补充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可按 batch_id 查询生成、入库、重复和失败数量。</x:v>
      </x:c>
      <x:c r="P10" s="615" t="str">
        <x:v>未开始</x:v>
      </x:c>
      <x:c r="Q10" s="615" t="str"/>
      <x:c r="R10" s="600" t="str"/>
    </x:row>
    <x:row r="11" ht="34" customHeight="1">
      <x:c r="A11" s="636" t="n">
        <x:v>1</x:v>
      </x:c>
      <x:c r="B11" s="631" t="str">
        <x:v>多元输入与自然语言生成域</x:v>
      </x:c>
      <x:c r="C11" s="631" t="str">
        <x:v>审计</x:v>
      </x:c>
      <x:c r="D11" s="631" t="str">
        <x:v>来源快照</x:v>
      </x:c>
      <x:c r="E11" s="631" t="str">
        <x:v>保留生成前的需求、章节、页面范围和模型输入快照。</x:v>
      </x:c>
      <x:c r="F11" s="637" t="str">
        <x:v>补充存储</x:v>
      </x:c>
      <x:c r="G11" s="631" t="str">
        <x:v>GenerationContext、原始内容</x:v>
      </x:c>
      <x:c r="H11" s="631" t="str">
        <x:v>immutable source_snapshot</x:v>
      </x:c>
      <x:c r="I11" s="631" t="str">
        <x:v>对象存储、审计日志</x:v>
      </x:c>
      <x:c r="J11" s="631" t="str">
        <x:v>快照只读，不得被后续编辑覆盖。</x:v>
      </x:c>
      <x:c r="K11" s="637" t="str">
        <x:v>补充</x:v>
      </x:c>
      <x:c r="L11" s="637" t="str">
        <x:v>是</x:v>
      </x:c>
      <x:c r="M11" s="637" t="str">
        <x:v>P1</x:v>
      </x:c>
      <x:c r="N11" s="637" t="str">
        <x:v>否</x:v>
      </x:c>
      <x:c r="O11" s="631" t="str">
        <x:v>任意资产可追溯到生成时的原始上下文。</x:v>
      </x:c>
      <x:c r="P11" s="637" t="str">
        <x:v>未开始</x:v>
      </x:c>
      <x:c r="Q11" s="637" t="str"/>
      <x:c r="R11" s="632" t="str"/>
    </x:row>
    <x:row r="12" ht="34" customHeight="1">
      <x:c r="A12" s="613" t="n">
        <x:v>1</x:v>
      </x:c>
      <x:c r="B12" s="599" t="str">
        <x:v>多元输入与自然语言生成域</x:v>
      </x:c>
      <x:c r="C12" s="599" t="str">
        <x:v>AI生成</x:v>
      </x:c>
      <x:c r="D12" s="599" t="str">
        <x:v>AI 生成自然语言测试点</x:v>
      </x:c>
      <x:c r="E12" s="599" t="str">
        <x:v>基于生成上下文输出纯业务描述的自然语言测试点。</x:v>
      </x:c>
      <x:c r="F12" s="615" t="str">
        <x:v>AI 核心</x:v>
      </x:c>
      <x:c r="G12" s="599" t="str">
        <x:v>GenerationContext、Prompt、模型配置</x:v>
      </x:c>
      <x:c r="H12" s="599" t="str">
        <x:v>NaturalLanguageTestPoint 列表</x:v>
      </x:c>
      <x:c r="I12" s="599" t="str">
        <x:v>模型服务、Prompt管理</x:v>
      </x:c>
      <x:c r="J12" s="599" t="str">
        <x:v>禁止输出 action、target、structured_steps、script_code。</x:v>
      </x:c>
      <x:c r="K12" s="615" t="str">
        <x:v>原图</x:v>
      </x:c>
      <x:c r="L12" s="615" t="str">
        <x:v>是</x:v>
      </x:c>
      <x:c r="M12" s="615" t="str">
        <x:v>P0</x:v>
      </x:c>
      <x:c r="N12" s="615" t="str">
        <x:v>是</x:v>
      </x:c>
      <x:c r="O12" s="599" t="str">
        <x:v>输出仅包含标题、前置条件、自然语言步骤、预期、优先级等业务字段。</x:v>
      </x:c>
      <x:c r="P12" s="615" t="str">
        <x:v>未开始</x:v>
      </x:c>
      <x:c r="Q12" s="615" t="str"/>
      <x:c r="R12" s="600" t="str"/>
    </x:row>
    <x:row r="13" ht="34" customHeight="1">
      <x:c r="A13" s="636" t="n">
        <x:v>1</x:v>
      </x:c>
      <x:c r="B13" s="631" t="str">
        <x:v>多元输入与自然语言生成域</x:v>
      </x:c>
      <x:c r="C13" s="631" t="str">
        <x:v>AI治理</x:v>
      </x:c>
      <x:c r="D13" s="631" t="str">
        <x:v>Prompt / 模型版本管理</x:v>
      </x:c>
      <x:c r="E13" s="631" t="str">
        <x:v>管理 Prompt、模型、参数和回滚版本。</x:v>
      </x:c>
      <x:c r="F13" s="637" t="str">
        <x:v>补充治理</x:v>
      </x:c>
      <x:c r="G13" s="631" t="str">
        <x:v>prompt_template、model_config</x:v>
      </x:c>
      <x:c r="H13" s="631" t="str">
        <x:v>prompt_version、model_run_id</x:v>
      </x:c>
      <x:c r="I13" s="631" t="str">
        <x:v>配置中心、审计</x:v>
      </x:c>
      <x:c r="J13" s="631" t="str">
        <x:v>每次生成必须记录模型和 Prompt 版本。</x:v>
      </x:c>
      <x:c r="K13" s="637" t="str">
        <x:v>补充</x:v>
      </x:c>
      <x:c r="L13" s="637" t="str">
        <x:v>是</x:v>
      </x:c>
      <x:c r="M13" s="637" t="str">
        <x:v>P1</x:v>
      </x:c>
      <x:c r="N13" s="637" t="str">
        <x:v>否</x:v>
      </x:c>
      <x:c r="O13" s="631" t="str">
        <x:v>生成结果可按 model_run_id 和 prompt_version 复现与追踪。</x:v>
      </x:c>
      <x:c r="P13" s="637" t="str">
        <x:v>未开始</x:v>
      </x:c>
      <x:c r="Q13" s="637" t="str"/>
      <x:c r="R13" s="632" t="str"/>
    </x:row>
    <x:row r="14" ht="34" customHeight="1">
      <x:c r="A14" s="613" t="n">
        <x:v>1</x:v>
      </x:c>
      <x:c r="B14" s="599" t="str">
        <x:v>多元输入与自然语言生成域</x:v>
      </x:c>
      <x:c r="C14" s="599" t="str">
        <x:v>输出检查</x:v>
      </x:c>
      <x:c r="D14" s="599" t="str">
        <x:v>自然语言输出 Schema 校验</x:v>
      </x:c>
      <x:c r="E14" s="599" t="str">
        <x:v>检查 AI 输出格式完整性并做有限容错。</x:v>
      </x:c>
      <x:c r="F14" s="615" t="str">
        <x:v>补充处理</x:v>
      </x:c>
      <x:c r="G14" s="599" t="str">
        <x:v>AI 输出</x:v>
      </x:c>
      <x:c r="H14" s="599" t="str">
        <x:v>合法 NaturalLanguageTestPoint 或 warning</x:v>
      </x:c>
      <x:c r="I14" s="599" t="str">
        <x:v>Schema版本、日志</x:v>
      </x:c>
      <x:c r="J14" s="599" t="str">
        <x:v>只校验格式，不做可执行性拦截。</x:v>
      </x:c>
      <x:c r="K14" s="615" t="str">
        <x:v>补充</x:v>
      </x:c>
      <x:c r="L14" s="615" t="str">
        <x:v>是</x:v>
      </x:c>
      <x:c r="M14" s="615" t="str">
        <x:v>P0</x:v>
      </x:c>
      <x:c r="N14" s="615" t="str">
        <x:v>是</x:v>
      </x:c>
      <x:c r="O14" s="599" t="str">
        <x:v>格式异常仍可入库为待修复资产，不因质量问题丢失。</x:v>
      </x:c>
      <x:c r="P14" s="615" t="str">
        <x:v>未开始</x:v>
      </x:c>
      <x:c r="Q14" s="615" t="str"/>
      <x:c r="R14" s="600" t="str"/>
    </x:row>
    <x:row r="15" ht="34" customHeight="1">
      <x:c r="A15" s="636" t="n">
        <x:v>1</x:v>
      </x:c>
      <x:c r="B15" s="631" t="str">
        <x:v>多元输入与自然语言生成域</x:v>
      </x:c>
      <x:c r="C15" s="631" t="str">
        <x:v>可观测性</x:v>
      </x:c>
      <x:c r="D15" s="631" t="str">
        <x:v>生成链路指标与追踪</x:v>
      </x:c>
      <x:c r="E15" s="631" t="str">
        <x:v>记录生成耗时、成功率、模型错误和批次指标。</x:v>
      </x:c>
      <x:c r="F15" s="637" t="str">
        <x:v>补充运维</x:v>
      </x:c>
      <x:c r="G15" s="631" t="str">
        <x:v>trace_id、batch_id、model_run_id</x:v>
      </x:c>
      <x:c r="H15" s="631" t="str">
        <x:v>日志、Metrics、告警</x:v>
      </x:c>
      <x:c r="I15" s="631" t="str">
        <x:v>可观测性平台</x:v>
      </x:c>
      <x:c r="J15" s="631" t="str">
        <x:v>正文和敏感内容不得写入普通日志。</x:v>
      </x:c>
      <x:c r="K15" s="637" t="str">
        <x:v>补充</x:v>
      </x:c>
      <x:c r="L15" s="637" t="str">
        <x:v>是</x:v>
      </x:c>
      <x:c r="M15" s="637" t="str">
        <x:v>P1</x:v>
      </x:c>
      <x:c r="N15" s="637" t="str">
        <x:v>否</x:v>
      </x:c>
      <x:c r="O15" s="631" t="str">
        <x:v>可按批次定位生成失败阶段。</x:v>
      </x:c>
      <x:c r="P15" s="637" t="str">
        <x:v>未开始</x:v>
      </x:c>
      <x:c r="Q15" s="637" t="str"/>
      <x:c r="R15" s="632" t="str"/>
    </x:row>
  </x:sheetData>
  <x:mergeCells>
    <x:mergeCell ref="A1:R1"/>
  </x:mergeCells>
  <x:conditionalFormatting sqref="K4:K15">
    <x:cfRule type="expression" dxfId="40" priority="1">
      <x:formula>K4="补充"</x:formula>
    </x:cfRule>
    <x:cfRule type="expression" dxfId="41" priority="2">
      <x:formula>K4="原图"</x:formula>
    </x:cfRule>
  </x:conditionalFormatting>
  <x:conditionalFormatting sqref="L4:L15">
    <x:cfRule type="expression" dxfId="42" priority="3">
      <x:formula>L4="是"</x:formula>
    </x:cfRule>
    <x:cfRule type="expression" dxfId="43" priority="4">
      <x:formula>L4="否"</x:formula>
    </x:cfRule>
  </x:conditionalFormatting>
  <x:conditionalFormatting sqref="M4:M15">
    <x:cfRule type="expression" dxfId="44" priority="5">
      <x:formula>M4="P0"</x:formula>
    </x:cfRule>
    <x:cfRule type="expression" dxfId="45" priority="6">
      <x:formula>M4="P1"</x:formula>
    </x:cfRule>
    <x:cfRule type="expression" dxfId="46" priority="7">
      <x:formula>M4="P2"</x:formula>
    </x:cfRule>
  </x:conditionalFormatting>
  <x:conditionalFormatting sqref="N4:N15">
    <x:cfRule type="expression" dxfId="47" priority="8">
      <x:formula>N4="是"</x:formula>
    </x:cfRule>
    <x:cfRule type="expression" dxfId="48" priority="9">
      <x:formula>N4="否"</x:formula>
    </x:cfRule>
  </x:conditionalFormatting>
  <x:conditionalFormatting sqref="P4:P15">
    <x:cfRule type="expression" dxfId="49" priority="10">
      <x:formula>P4="未开始"</x:formula>
    </x:cfRule>
    <x:cfRule type="expression" dxfId="50" priority="11">
      <x:formula>P4="进行中"</x:formula>
    </x:cfRule>
    <x:cfRule type="expression" dxfId="51" priority="12">
      <x:formula>P4="阻塞"</x:formula>
    </x:cfRule>
    <x:cfRule type="expression" dxfId="52" priority="13">
      <x:formula>P4="已完成"</x:formula>
    </x:cfRule>
    <x:cfRule type="expression" dxfId="53" priority="14">
      <x:formula>P4="已取消"</x:formula>
    </x:cfRule>
  </x:conditionalFormatting>
  <x:dataValidations count="1">
    <x:dataValidation type="list" sqref="P4:P15">
      <x:formula1>"未开始,进行中,阻塞,已完成,已取消"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45" t="str">
        <x:v>2. 自然语言测试资产域</x:v>
      </x:c>
      <x:c r="B1" s="646"/>
      <x:c r="C1" s="646"/>
      <x:c r="D1" s="646"/>
      <x:c r="E1" s="646"/>
      <x:c r="F1" s="646"/>
      <x:c r="G1" s="646"/>
      <x:c r="H1" s="646"/>
      <x:c r="I1" s="646"/>
      <x:c r="J1" s="646"/>
      <x:c r="K1" s="646"/>
      <x:c r="L1" s="646"/>
      <x:c r="M1" s="646"/>
      <x:c r="N1" s="646"/>
      <x:c r="O1" s="646"/>
      <x:c r="P1" s="646"/>
      <x:c r="Q1" s="646"/>
      <x:c r="R1" s="647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2</x:v>
      </x:c>
      <x:c r="B4" s="599" t="str">
        <x:v>自然语言测试资产域</x:v>
      </x:c>
      <x:c r="C4" s="599" t="str">
        <x:v>统一入库</x:v>
      </x:c>
      <x:c r="D4" s="599" t="str">
        <x:v>统一资产入库服务</x:v>
      </x:c>
      <x:c r="E4" s="599" t="str">
        <x:v>接收所有自然语言资产，补齐身份和来源后统一入库。</x:v>
      </x:c>
      <x:c r="F4" s="615" t="str">
        <x:v>服务</x:v>
      </x:c>
      <x:c r="G4" s="599" t="str">
        <x:v>NaturalLanguageTestPoint / 手工资产、GenerationContext</x:v>
      </x:c>
      <x:c r="H4" s="599" t="str">
        <x:v>TestAsset、AssetVersion</x:v>
      </x:c>
      <x:c r="I4" s="599" t="str">
        <x:v>统一ID、去重、项目作用域</x:v>
      </x:c>
      <x:c r="J4" s="599" t="str">
        <x:v>不得调用自然语言结构化、页面绑定、Compiler。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AI、手工、批量导入均只调用同一入库服务。</x:v>
      </x:c>
      <x:c r="P4" s="615" t="str">
        <x:v>未开始</x:v>
      </x:c>
      <x:c r="Q4" s="615" t="str"/>
      <x:c r="R4" s="600" t="str"/>
    </x:row>
    <x:row r="5" ht="34" customHeight="1">
      <x:c r="A5" s="648" t="n">
        <x:v>2</x:v>
      </x:c>
      <x:c r="B5" s="414" t="str">
        <x:v>自然语言测试资产域</x:v>
      </x:c>
      <x:c r="C5" s="414" t="str">
        <x:v>统一入库</x:v>
      </x:c>
      <x:c r="D5" s="414" t="str">
        <x:v>ID 分配与来源绑定</x:v>
      </x:c>
      <x:c r="E5" s="414" t="str">
        <x:v>前移 intent_id、asset_id、version_id 并绑定来源关系。</x:v>
      </x:c>
      <x:c r="F5" s="649" t="str">
        <x:v>补充服务</x:v>
      </x:c>
      <x:c r="G5" s="414" t="str">
        <x:v>GenerationContext、自然语言资产</x:v>
      </x:c>
      <x:c r="H5" s="414" t="str">
        <x:v>稳定ID、TestAssetSource</x:v>
      </x:c>
      <x:c r="I5" s="414" t="str">
        <x:v>统一ID、需求/文档/章节/页面模型</x:v>
      </x:c>
      <x:c r="J5" s="414" t="str">
        <x:v>权威 ID 由后端产生，不得由 LLM 编造。</x:v>
      </x:c>
      <x:c r="K5" s="649" t="str">
        <x:v>补充</x:v>
      </x:c>
      <x:c r="L5" s="649" t="str">
        <x:v>是</x:v>
      </x:c>
      <x:c r="M5" s="649" t="str">
        <x:v>P0</x:v>
      </x:c>
      <x:c r="N5" s="649" t="str">
        <x:v>是</x:v>
      </x:c>
      <x:c r="O5" s="414" t="str">
        <x:v>取消候选后所有资产仍具备完整需求、章节、页面、批次链路。</x:v>
      </x:c>
      <x:c r="P5" s="649" t="str">
        <x:v>未开始</x:v>
      </x:c>
      <x:c r="Q5" s="649" t="str"/>
      <x:c r="R5" s="415" t="str"/>
    </x:row>
    <x:row r="6" ht="34" customHeight="1">
      <x:c r="A6" s="613" t="n">
        <x:v>2</x:v>
      </x:c>
      <x:c r="B6" s="599" t="str">
        <x:v>自然语言测试资产域</x:v>
      </x:c>
      <x:c r="C6" s="599" t="str">
        <x:v>幂等</x:v>
      </x:c>
      <x:c r="D6" s="599" t="str">
        <x:v>幂等检查</x:v>
      </x:c>
      <x:c r="E6" s="599" t="str">
        <x:v>识别同一请求或消息重投，返回已有资产。</x:v>
      </x:c>
      <x:c r="F6" s="615" t="str">
        <x:v>处理</x:v>
      </x:c>
      <x:c r="G6" s="599" t="str">
        <x:v>idempotency_key、generated_item_key</x:v>
      </x:c>
      <x:c r="H6" s="599" t="str">
        <x:v>existing/new 决策</x:v>
      </x:c>
      <x:c r="I6" s="599" t="str">
        <x:v>Redis/数据库唯一键</x:v>
      </x:c>
      <x:c r="J6" s="599" t="str">
        <x:v>幂等不等于内容去重。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重复提交不创建第二条资产。</x:v>
      </x:c>
      <x:c r="P6" s="615" t="str">
        <x:v>未开始</x:v>
      </x:c>
      <x:c r="Q6" s="615" t="str"/>
      <x:c r="R6" s="600" t="str"/>
    </x:row>
    <x:row r="7" ht="34" customHeight="1">
      <x:c r="A7" s="648" t="n">
        <x:v>2</x:v>
      </x:c>
      <x:c r="B7" s="414" t="str">
        <x:v>自然语言测试资产域</x:v>
      </x:c>
      <x:c r="C7" s="414" t="str">
        <x:v>去重</x:v>
      </x:c>
      <x:c r="D7" s="414" t="str">
        <x:v>精确重复检测</x:v>
      </x:c>
      <x:c r="E7" s="414" t="str">
        <x:v>根据标准化自然语言和作用域生成精确指纹。</x:v>
      </x:c>
      <x:c r="F7" s="649" t="str">
        <x:v>处理</x:v>
      </x:c>
      <x:c r="G7" s="414" t="str">
        <x:v>标题、步骤、预期、project/requirement/page</x:v>
      </x:c>
      <x:c r="H7" s="414" t="str">
        <x:v>fingerprint、exact duplicate 结果</x:v>
      </x:c>
      <x:c r="I7" s="414" t="str">
        <x:v>文本标准化、索引</x:v>
      </x:c>
      <x:c r="J7" s="414" t="str">
        <x:v>不能因文本格式差异误判；来源不同需保留关联。</x:v>
      </x:c>
      <x:c r="K7" s="649" t="str">
        <x:v>原图</x:v>
      </x:c>
      <x:c r="L7" s="649" t="str">
        <x:v>是</x:v>
      </x:c>
      <x:c r="M7" s="649" t="str">
        <x:v>P0</x:v>
      </x:c>
      <x:c r="N7" s="649" t="str">
        <x:v>是</x:v>
      </x:c>
      <x:c r="O7" s="414" t="str">
        <x:v>同作用域完全重复可复用资产或补充来源。</x:v>
      </x:c>
      <x:c r="P7" s="649" t="str">
        <x:v>未开始</x:v>
      </x:c>
      <x:c r="Q7" s="649" t="str"/>
      <x:c r="R7" s="415" t="str"/>
    </x:row>
    <x:row r="8" ht="34" customHeight="1">
      <x:c r="A8" s="613" t="n">
        <x:v>2</x:v>
      </x:c>
      <x:c r="B8" s="599" t="str">
        <x:v>自然语言测试资产域</x:v>
      </x:c>
      <x:c r="C8" s="599" t="str">
        <x:v>去重</x:v>
      </x:c>
      <x:c r="D8" s="599" t="str">
        <x:v>语义重复检测</x:v>
      </x:c>
      <x:c r="E8" s="599" t="str">
        <x:v>异步识别疑似语义重复资产。</x:v>
      </x:c>
      <x:c r="F8" s="615" t="str">
        <x:v>补充AI</x:v>
      </x:c>
      <x:c r="G8" s="599" t="str">
        <x:v>自然语言资产、向量</x:v>
      </x:c>
      <x:c r="H8" s="599" t="str">
        <x:v>similarity_score、duplicate_relation</x:v>
      </x:c>
      <x:c r="I8" s="599" t="str">
        <x:v>向量服务、异步任务</x:v>
      </x:c>
      <x:c r="J8" s="599" t="str">
        <x:v>疑似重复不得自动删除或阻止入库。</x:v>
      </x:c>
      <x:c r="K8" s="615" t="str">
        <x:v>补充</x:v>
      </x:c>
      <x:c r="L8" s="615" t="str">
        <x:v>否</x:v>
      </x:c>
      <x:c r="M8" s="615" t="str">
        <x:v>P1</x:v>
      </x:c>
      <x:c r="N8" s="615" t="str">
        <x:v>否</x:v>
      </x:c>
      <x:c r="O8" s="599" t="str">
        <x:v>疑似重复仍成功入库并可人工处理。</x:v>
      </x:c>
      <x:c r="P8" s="615" t="str">
        <x:v>未开始</x:v>
      </x:c>
      <x:c r="Q8" s="615" t="str"/>
      <x:c r="R8" s="600" t="str"/>
    </x:row>
    <x:row r="9" ht="34" customHeight="1">
      <x:c r="A9" s="648" t="n">
        <x:v>2</x:v>
      </x:c>
      <x:c r="B9" s="414" t="str">
        <x:v>自然语言测试资产域</x:v>
      </x:c>
      <x:c r="C9" s="414" t="str">
        <x:v>存储</x:v>
      </x:c>
      <x:c r="D9" s="414" t="str">
        <x:v>自然语言测试资产库</x:v>
      </x:c>
      <x:c r="E9" s="414" t="str">
        <x:v>持久化 TestAsset 身份和当前版本。</x:v>
      </x:c>
      <x:c r="F9" s="649" t="str">
        <x:v>存储</x:v>
      </x:c>
      <x:c r="G9" s="414" t="str">
        <x:v>资产身份、状态、来源</x:v>
      </x:c>
      <x:c r="H9" s="414" t="str">
        <x:v>TestAsset</x:v>
      </x:c>
      <x:c r="I9" s="414" t="str">
        <x:v>数据库、版本管理</x:v>
      </x:c>
      <x:c r="J9" s="414" t="str">
        <x:v>资产库不保存 script_code 作为业务内容。</x:v>
      </x:c>
      <x:c r="K9" s="649" t="str">
        <x:v>原图</x:v>
      </x:c>
      <x:c r="L9" s="649" t="str">
        <x:v>是</x:v>
      </x:c>
      <x:c r="M9" s="649" t="str">
        <x:v>P0</x:v>
      </x:c>
      <x:c r="N9" s="649" t="str">
        <x:v>是</x:v>
      </x:c>
      <x:c r="O9" s="414" t="str">
        <x:v>资产内容事实源明确，能关联当前版本。</x:v>
      </x:c>
      <x:c r="P9" s="649" t="str">
        <x:v>未开始</x:v>
      </x:c>
      <x:c r="Q9" s="649" t="str"/>
      <x:c r="R9" s="415" t="str"/>
    </x:row>
    <x:row r="10" ht="34" customHeight="1">
      <x:c r="A10" s="613" t="n">
        <x:v>2</x:v>
      </x:c>
      <x:c r="B10" s="599" t="str">
        <x:v>自然语言测试资产域</x:v>
      </x:c>
      <x:c r="C10" s="599" t="str">
        <x:v>版本</x:v>
      </x:c>
      <x:c r="D10" s="599" t="str">
        <x:v>资产版本库</x:v>
      </x:c>
      <x:c r="E10" s="599" t="str">
        <x:v>保存每次自然语言内容编辑形成的 AssetVersion。</x:v>
      </x:c>
      <x:c r="F10" s="615" t="str">
        <x:v>补充存储</x:v>
      </x:c>
      <x:c r="G10" s="599" t="str">
        <x:v>编辑前后内容、操作人</x:v>
      </x:c>
      <x:c r="H10" s="599" t="str">
        <x:v>AssetVersion、diff</x:v>
      </x:c>
      <x:c r="I10" s="599" t="str">
        <x:v>版本管理、审计</x:v>
      </x:c>
      <x:c r="J10" s="599" t="str">
        <x:v>审核和转换必须绑定具体版本。</x:v>
      </x:c>
      <x:c r="K10" s="615" t="str">
        <x:v>补充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历史版本可查看、恢复和对比。</x:v>
      </x:c>
      <x:c r="P10" s="615" t="str">
        <x:v>未开始</x:v>
      </x:c>
      <x:c r="Q10" s="615" t="str"/>
      <x:c r="R10" s="600" t="str"/>
    </x:row>
    <x:row r="11" ht="34" customHeight="1">
      <x:c r="A11" s="648" t="n">
        <x:v>2</x:v>
      </x:c>
      <x:c r="B11" s="414" t="str">
        <x:v>自然语言测试资产域</x:v>
      </x:c>
      <x:c r="C11" s="414" t="str">
        <x:v>来源</x:v>
      </x:c>
      <x:c r="D11" s="414" t="str">
        <x:v>资产来源关系</x:v>
      </x:c>
      <x:c r="E11" s="414" t="str">
        <x:v>保存资产与需求、文档、章节、页面和批次的多对多关系。</x:v>
      </x:c>
      <x:c r="F11" s="649" t="str">
        <x:v>补充存储</x:v>
      </x:c>
      <x:c r="G11" s="414" t="str">
        <x:v>各来源ID</x:v>
      </x:c>
      <x:c r="H11" s="414" t="str">
        <x:v>TestAssetSource</x:v>
      </x:c>
      <x:c r="I11" s="414" t="str">
        <x:v>GenerationContext</x:v>
      </x:c>
      <x:c r="J11" s="414" t="str">
        <x:v>来源关系只读，不得被内容编辑覆盖。</x:v>
      </x:c>
      <x:c r="K11" s="649" t="str">
        <x:v>补充</x:v>
      </x:c>
      <x:c r="L11" s="649" t="str">
        <x:v>是</x:v>
      </x:c>
      <x:c r="M11" s="649" t="str">
        <x:v>P0</x:v>
      </x:c>
      <x:c r="N11" s="649" t="str">
        <x:v>是</x:v>
      </x:c>
      <x:c r="O11" s="414" t="str">
        <x:v>从资产可完整追溯到所有来源范围。</x:v>
      </x:c>
      <x:c r="P11" s="649" t="str">
        <x:v>未开始</x:v>
      </x:c>
      <x:c r="Q11" s="649" t="str"/>
      <x:c r="R11" s="415" t="str"/>
    </x:row>
    <x:row r="12" ht="34" customHeight="1">
      <x:c r="A12" s="613" t="n">
        <x:v>2</x:v>
      </x:c>
      <x:c r="B12" s="599" t="str">
        <x:v>自然语言测试资产域</x:v>
      </x:c>
      <x:c r="C12" s="599" t="str">
        <x:v>智能辅助</x:v>
      </x:c>
      <x:c r="D12" s="599" t="str">
        <x:v>异步智能评估</x:v>
      </x:c>
      <x:c r="E12" s="599" t="str">
        <x:v>入库后进行置信度、标签、场景建议和内容 warning。</x:v>
      </x:c>
      <x:c r="F12" s="615" t="str">
        <x:v>AI 辅助</x:v>
      </x:c>
      <x:c r="G12" s="599" t="str">
        <x:v>TestAssetVersion</x:v>
      </x:c>
      <x:c r="H12" s="599" t="str">
        <x:v>confidence、tags、scenario_suggestions</x:v>
      </x:c>
      <x:c r="I12" s="599" t="str">
        <x:v>异步任务、AI模型</x:v>
      </x:c>
      <x:c r="J12" s="599" t="str">
        <x:v>不能成为入库拦截。</x:v>
      </x:c>
      <x:c r="K12" s="615" t="str">
        <x:v>原图</x:v>
      </x:c>
      <x:c r="L12" s="615" t="str">
        <x:v>否</x:v>
      </x:c>
      <x:c r="M12" s="615" t="str">
        <x:v>P1</x:v>
      </x:c>
      <x:c r="N12" s="615" t="str">
        <x:v>否</x:v>
      </x:c>
      <x:c r="O12" s="599" t="str">
        <x:v>评估失败不影响资产保存。</x:v>
      </x:c>
      <x:c r="P12" s="615" t="str">
        <x:v>未开始</x:v>
      </x:c>
      <x:c r="Q12" s="615" t="str"/>
      <x:c r="R12" s="600" t="str"/>
    </x:row>
    <x:row r="13" ht="34" customHeight="1">
      <x:c r="A13" s="648" t="n">
        <x:v>2</x:v>
      </x:c>
      <x:c r="B13" s="414" t="str">
        <x:v>自然语言测试资产域</x:v>
      </x:c>
      <x:c r="C13" s="414" t="str">
        <x:v>业务中心</x:v>
      </x:c>
      <x:c r="D13" s="414" t="str">
        <x:v>测试资产中心</x:v>
      </x:c>
      <x:c r="E13" s="414" t="str">
        <x:v>提供列表、查看、编辑、删除、恢复、审核、版本和重复管理。</x:v>
      </x:c>
      <x:c r="F13" s="649" t="str">
        <x:v>业务中心</x:v>
      </x:c>
      <x:c r="G13" s="414" t="str">
        <x:v>TestAsset、AssetVersion、来源关系</x:v>
      </x:c>
      <x:c r="H13" s="414" t="str">
        <x:v>更新版本、审核记录、批量操作</x:v>
      </x:c>
      <x:c r="I13" s="414" t="str">
        <x:v>前端、API、审计</x:v>
      </x:c>
      <x:c r="J13" s="414" t="str">
        <x:v>资产中心只管理自然语言，不编辑机器脚本。</x:v>
      </x:c>
      <x:c r="K13" s="649" t="str">
        <x:v>原图</x:v>
      </x:c>
      <x:c r="L13" s="649" t="str">
        <x:v>是</x:v>
      </x:c>
      <x:c r="M13" s="649" t="str">
        <x:v>P0</x:v>
      </x:c>
      <x:c r="N13" s="649" t="str">
        <x:v>是</x:v>
      </x:c>
      <x:c r="O13" s="414" t="str">
        <x:v>用户可完成资产全生命周期管理。</x:v>
      </x:c>
      <x:c r="P13" s="649" t="str">
        <x:v>未开始</x:v>
      </x:c>
      <x:c r="Q13" s="649" t="str"/>
      <x:c r="R13" s="415" t="str"/>
    </x:row>
    <x:row r="14" ht="34" customHeight="1">
      <x:c r="A14" s="613" t="n">
        <x:v>2</x:v>
      </x:c>
      <x:c r="B14" s="599" t="str">
        <x:v>自然语言测试资产域</x:v>
      </x:c>
      <x:c r="C14" s="599" t="str">
        <x:v>状态</x:v>
      </x:c>
      <x:c r="D14" s="599" t="str">
        <x:v>内容审核状态</x:v>
      </x:c>
      <x:c r="E14" s="599" t="str">
        <x:v>管理 pending/approved/rejected，绑定具体资产版本。</x:v>
      </x:c>
      <x:c r="F14" s="615" t="str">
        <x:v>补充管理</x:v>
      </x:c>
      <x:c r="G14" s="599" t="str">
        <x:v>AssetVersion、审核动作</x:v>
      </x:c>
      <x:c r="H14" s="599" t="str">
        <x:v>review_status、review_record</x:v>
      </x:c>
      <x:c r="I14" s="599" t="str">
        <x:v>审计、权限</x:v>
      </x:c>
      <x:c r="J14" s="599" t="str">
        <x:v>审核通过不代表技术转换成功。</x:v>
      </x:c>
      <x:c r="K14" s="615" t="str">
        <x:v>补充</x:v>
      </x:c>
      <x:c r="L14" s="615" t="str">
        <x:v>是</x:v>
      </x:c>
      <x:c r="M14" s="615" t="str">
        <x:v>P0</x:v>
      </x:c>
      <x:c r="N14" s="615" t="str">
        <x:v>是</x:v>
      </x:c>
      <x:c r="O14" s="599" t="str">
        <x:v>审核状态与转换状态完全独立。</x:v>
      </x:c>
      <x:c r="P14" s="615" t="str">
        <x:v>未开始</x:v>
      </x:c>
      <x:c r="Q14" s="615" t="str"/>
      <x:c r="R14" s="600" t="str"/>
    </x:row>
    <x:row r="15" ht="34" customHeight="1">
      <x:c r="A15" s="648" t="n">
        <x:v>2</x:v>
      </x:c>
      <x:c r="B15" s="414" t="str">
        <x:v>自然语言测试资产域</x:v>
      </x:c>
      <x:c r="C15" s="414" t="str">
        <x:v>状态</x:v>
      </x:c>
      <x:c r="D15" s="414" t="str">
        <x:v>转换状态</x:v>
      </x:c>
      <x:c r="E15" s="414" t="str">
        <x:v>管理 not_started/processing/blocked/succeeded/stale。</x:v>
      </x:c>
      <x:c r="F15" s="649" t="str">
        <x:v>补充管理</x:v>
      </x:c>
      <x:c r="G15" s="414" t="str">
        <x:v>ConversionAttempt 结果</x:v>
      </x:c>
      <x:c r="H15" s="414" t="str">
        <x:v>conversion_status</x:v>
      </x:c>
      <x:c r="I15" s="414" t="str">
        <x:v>转换域</x:v>
      </x:c>
      <x:c r="J15" s="414" t="str">
        <x:v>转换失败不得回滚内容审核。</x:v>
      </x:c>
      <x:c r="K15" s="649" t="str">
        <x:v>补充</x:v>
      </x:c>
      <x:c r="L15" s="649" t="str">
        <x:v>是</x:v>
      </x:c>
      <x:c r="M15" s="649" t="str">
        <x:v>P0</x:v>
      </x:c>
      <x:c r="N15" s="649" t="str">
        <x:v>是</x:v>
      </x:c>
      <x:c r="O15" s="414" t="str">
        <x:v>可同时出现 approved + blocked。</x:v>
      </x:c>
      <x:c r="P15" s="649" t="str">
        <x:v>未开始</x:v>
      </x:c>
      <x:c r="Q15" s="649" t="str"/>
      <x:c r="R15" s="415" t="str"/>
    </x:row>
    <x:row r="16" ht="34" customHeight="1">
      <x:c r="A16" s="613" t="n">
        <x:v>2</x:v>
      </x:c>
      <x:c r="B16" s="599" t="str">
        <x:v>自然语言测试资产域</x:v>
      </x:c>
      <x:c r="C16" s="599" t="str">
        <x:v>删除</x:v>
      </x:c>
      <x:c r="D16" s="599" t="str">
        <x:v>软删除与回收站</x:v>
      </x:c>
      <x:c r="E16" s="599" t="str">
        <x:v>支持删除、恢复和批量清理。</x:v>
      </x:c>
      <x:c r="F16" s="615" t="str">
        <x:v>补充管理</x:v>
      </x:c>
      <x:c r="G16" s="599" t="str">
        <x:v>删除操作</x:v>
      </x:c>
      <x:c r="H16" s="599" t="str">
        <x:v>deleted_at、restore_record</x:v>
      </x:c>
      <x:c r="I16" s="599" t="str">
        <x:v>审计、版本管理</x:v>
      </x:c>
      <x:c r="J16" s="599" t="str">
        <x:v>被测试用例引用的资产不得物理删除。</x:v>
      </x:c>
      <x:c r="K16" s="615" t="str">
        <x:v>补充</x:v>
      </x:c>
      <x:c r="L16" s="615" t="str">
        <x:v>是</x:v>
      </x:c>
      <x:c r="M16" s="615" t="str">
        <x:v>P1</x:v>
      </x:c>
      <x:c r="N16" s="615" t="str">
        <x:v>否</x:v>
      </x:c>
      <x:c r="O16" s="599" t="str">
        <x:v>误删可恢复，历史链路不丢失。</x:v>
      </x:c>
      <x:c r="P16" s="615" t="str">
        <x:v>未开始</x:v>
      </x:c>
      <x:c r="Q16" s="615" t="str"/>
      <x:c r="R16" s="600" t="str"/>
    </x:row>
    <x:row r="17" ht="34" customHeight="1">
      <x:c r="A17" s="648" t="n">
        <x:v>2</x:v>
      </x:c>
      <x:c r="B17" s="414" t="str">
        <x:v>自然语言测试资产域</x:v>
      </x:c>
      <x:c r="C17" s="414" t="str">
        <x:v>去重治理</x:v>
      </x:c>
      <x:c r="D17" s="414" t="str">
        <x:v>重复关系与合并记录</x:v>
      </x:c>
      <x:c r="E17" s="414" t="str">
        <x:v>记录 exact/suspected/merged 关系和合并历史。</x:v>
      </x:c>
      <x:c r="F17" s="649" t="str">
        <x:v>存储</x:v>
      </x:c>
      <x:c r="G17" s="414" t="str">
        <x:v>重复检测结果、人工操作</x:v>
      </x:c>
      <x:c r="H17" s="414" t="str">
        <x:v>DuplicateRelation、MergeRecord</x:v>
      </x:c>
      <x:c r="I17" s="414" t="str">
        <x:v>去重服务、审计</x:v>
      </x:c>
      <x:c r="J17" s="414" t="str">
        <x:v>合并必须保留双方来源和历史版本。</x:v>
      </x:c>
      <x:c r="K17" s="649" t="str">
        <x:v>原图</x:v>
      </x:c>
      <x:c r="L17" s="649" t="str">
        <x:v>否</x:v>
      </x:c>
      <x:c r="M17" s="649" t="str">
        <x:v>P1</x:v>
      </x:c>
      <x:c r="N17" s="649" t="str">
        <x:v>否</x:v>
      </x:c>
      <x:c r="O17" s="414" t="str">
        <x:v>重复资产可人工保留、合并或删除。</x:v>
      </x:c>
      <x:c r="P17" s="649" t="str">
        <x:v>未开始</x:v>
      </x:c>
      <x:c r="Q17" s="649" t="str"/>
      <x:c r="R17" s="415" t="str"/>
    </x:row>
    <x:row r="18" ht="34" customHeight="1">
      <x:c r="A18" s="613" t="n">
        <x:v>2</x:v>
      </x:c>
      <x:c r="B18" s="599" t="str">
        <x:v>自然语言测试资产域</x:v>
      </x:c>
      <x:c r="C18" s="599" t="str">
        <x:v>批量能力</x:v>
      </x:c>
      <x:c r="D18" s="599" t="str">
        <x:v>批量操作任务</x:v>
      </x:c>
      <x:c r="E18" s="599" t="str">
        <x:v>支持批量审核、标签、删除和发起转换。</x:v>
      </x:c>
      <x:c r="F18" s="615" t="str">
        <x:v>补充服务</x:v>
      </x:c>
      <x:c r="G18" s="599" t="str">
        <x:v>asset_ids、operation</x:v>
      </x:c>
      <x:c r="H18" s="599" t="str">
        <x:v>异步任务结果</x:v>
      </x:c>
      <x:c r="I18" s="599" t="str">
        <x:v>Job、权限、审计</x:v>
      </x:c>
      <x:c r="J18" s="599" t="str">
        <x:v>大批量操作必须异步并限制规模。</x:v>
      </x:c>
      <x:c r="K18" s="615" t="str">
        <x:v>补充</x:v>
      </x:c>
      <x:c r="L18" s="615" t="str">
        <x:v>否</x:v>
      </x:c>
      <x:c r="M18" s="615" t="str">
        <x:v>P1</x:v>
      </x:c>
      <x:c r="N18" s="615" t="str">
        <x:v>否</x:v>
      </x:c>
      <x:c r="O18" s="599" t="str">
        <x:v>批量任务可查看成功/失败明细。</x:v>
      </x:c>
      <x:c r="P18" s="615" t="str">
        <x:v>未开始</x:v>
      </x:c>
      <x:c r="Q18" s="615" t="str"/>
      <x:c r="R18" s="600" t="str"/>
    </x:row>
  </x:sheetData>
  <x:mergeCells>
    <x:mergeCell ref="A1:R1"/>
  </x:mergeCells>
  <x:conditionalFormatting sqref="K4:K18">
    <x:cfRule type="expression" dxfId="54" priority="1">
      <x:formula>K4="补充"</x:formula>
    </x:cfRule>
    <x:cfRule type="expression" dxfId="55" priority="2">
      <x:formula>K4="原图"</x:formula>
    </x:cfRule>
  </x:conditionalFormatting>
  <x:conditionalFormatting sqref="L4:L18">
    <x:cfRule type="expression" dxfId="56" priority="3">
      <x:formula>L4="是"</x:formula>
    </x:cfRule>
    <x:cfRule type="expression" dxfId="57" priority="4">
      <x:formula>L4="否"</x:formula>
    </x:cfRule>
  </x:conditionalFormatting>
  <x:conditionalFormatting sqref="M4:M18">
    <x:cfRule type="expression" dxfId="58" priority="5">
      <x:formula>M4="P0"</x:formula>
    </x:cfRule>
    <x:cfRule type="expression" dxfId="59" priority="6">
      <x:formula>M4="P1"</x:formula>
    </x:cfRule>
    <x:cfRule type="expression" dxfId="60" priority="7">
      <x:formula>M4="P2"</x:formula>
    </x:cfRule>
  </x:conditionalFormatting>
  <x:conditionalFormatting sqref="N4:N18">
    <x:cfRule type="expression" dxfId="61" priority="8">
      <x:formula>N4="是"</x:formula>
    </x:cfRule>
    <x:cfRule type="expression" dxfId="62" priority="9">
      <x:formula>N4="否"</x:formula>
    </x:cfRule>
  </x:conditionalFormatting>
  <x:conditionalFormatting sqref="P4:P18">
    <x:cfRule type="expression" dxfId="63" priority="10">
      <x:formula>P4="未开始"</x:formula>
    </x:cfRule>
    <x:cfRule type="expression" dxfId="64" priority="11">
      <x:formula>P4="进行中"</x:formula>
    </x:cfRule>
    <x:cfRule type="expression" dxfId="65" priority="12">
      <x:formula>P4="阻塞"</x:formula>
    </x:cfRule>
    <x:cfRule type="expression" dxfId="66" priority="13">
      <x:formula>P4="已完成"</x:formula>
    </x:cfRule>
    <x:cfRule type="expression" dxfId="67" priority="14">
      <x:formula>P4="已取消"</x:formula>
    </x:cfRule>
  </x:conditionalFormatting>
  <x:dataValidations count="1">
    <x:dataValidation type="list" sqref="P4:P18">
      <x:formula1>"未开始,进行中,阻塞,已完成,已取消"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57" t="str">
        <x:v>3. Asset-to-Case 转换与统一拦截域</x:v>
      </x:c>
      <x:c r="B1" s="658"/>
      <x:c r="C1" s="658"/>
      <x:c r="D1" s="658"/>
      <x:c r="E1" s="658"/>
      <x:c r="F1" s="658"/>
      <x:c r="G1" s="658"/>
      <x:c r="H1" s="658"/>
      <x:c r="I1" s="658"/>
      <x:c r="J1" s="658"/>
      <x:c r="K1" s="658"/>
      <x:c r="L1" s="658"/>
      <x:c r="M1" s="658"/>
      <x:c r="N1" s="658"/>
      <x:c r="O1" s="658"/>
      <x:c r="P1" s="658"/>
      <x:c r="Q1" s="658"/>
      <x:c r="R1" s="659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3</x:v>
      </x:c>
      <x:c r="B4" s="599" t="str">
        <x:v>Asset-to-Case 转换与统一拦截域</x:v>
      </x:c>
      <x:c r="C4" s="599" t="str">
        <x:v>触发</x:v>
      </x:c>
      <x:c r="D4" s="599" t="str">
        <x:v>内容审核通过并发起转换</x:v>
      </x:c>
      <x:c r="E4" s="599" t="str">
        <x:v>从指定已审核资产版本发起保存为测试用例。</x:v>
      </x:c>
      <x:c r="F4" s="615" t="str">
        <x:v>触发</x:v>
      </x:c>
      <x:c r="G4" s="599" t="str">
        <x:v>asset_id、asset_version_id、environment_id</x:v>
      </x:c>
      <x:c r="H4" s="599" t="str">
        <x:v>conversion_request</x:v>
      </x:c>
      <x:c r="I4" s="599" t="str">
        <x:v>资产中心、权限</x:v>
      </x:c>
      <x:c r="J4" s="599" t="str">
        <x:v>不得接受 candidate、steps_hint 或未审核版本。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转换入口只接受明确的自然语言资产版本。</x:v>
      </x:c>
      <x:c r="P4" s="615" t="str">
        <x:v>未开始</x:v>
      </x:c>
      <x:c r="Q4" s="615" t="str"/>
      <x:c r="R4" s="600" t="str"/>
    </x:row>
    <x:row r="5" ht="34" customHeight="1">
      <x:c r="A5" s="660" t="n">
        <x:v>3</x:v>
      </x:c>
      <x:c r="B5" s="420" t="str">
        <x:v>Asset-to-Case 转换与统一拦截域</x:v>
      </x:c>
      <x:c r="C5" s="420" t="str">
        <x:v>一致性</x:v>
      </x:c>
      <x:c r="D5" s="420" t="str">
        <x:v>资产版本锁定</x:v>
      </x:c>
      <x:c r="E5" s="420" t="str">
        <x:v>防止转换过程中资产被修改造成结果漂移。</x:v>
      </x:c>
      <x:c r="F5" s="661" t="str">
        <x:v>补充控制</x:v>
      </x:c>
      <x:c r="G5" s="420" t="str">
        <x:v>asset_version_id</x:v>
      </x:c>
      <x:c r="H5" s="420" t="str">
        <x:v>version_lock / optimistic token</x:v>
      </x:c>
      <x:c r="I5" s="420" t="str">
        <x:v>版本管理、Redis</x:v>
      </x:c>
      <x:c r="J5" s="420" t="str">
        <x:v>长流程避免数据库长事务。</x:v>
      </x:c>
      <x:c r="K5" s="661" t="str">
        <x:v>补充</x:v>
      </x:c>
      <x:c r="L5" s="661" t="str">
        <x:v>是</x:v>
      </x:c>
      <x:c r="M5" s="661" t="str">
        <x:v>P0</x:v>
      </x:c>
      <x:c r="N5" s="661" t="str">
        <x:v>是</x:v>
      </x:c>
      <x:c r="O5" s="420" t="str">
        <x:v>转换始终基于不可变资产版本。</x:v>
      </x:c>
      <x:c r="P5" s="661" t="str">
        <x:v>未开始</x:v>
      </x:c>
      <x:c r="Q5" s="661" t="str"/>
      <x:c r="R5" s="421" t="str"/>
    </x:row>
    <x:row r="6" ht="34" customHeight="1">
      <x:c r="A6" s="613" t="n">
        <x:v>3</x:v>
      </x:c>
      <x:c r="B6" s="599" t="str">
        <x:v>Asset-to-Case 转换与统一拦截域</x:v>
      </x:c>
      <x:c r="C6" s="599" t="str">
        <x:v>转换记录</x:v>
      </x:c>
      <x:c r="D6" s="599" t="str">
        <x:v>ConversionAttempt</x:v>
      </x:c>
      <x:c r="E6" s="599" t="str">
        <x:v>记录每次转换的状态、阶段、资源绑定、错误和生成结果。</x:v>
      </x:c>
      <x:c r="F6" s="615" t="str">
        <x:v>存储</x:v>
      </x:c>
      <x:c r="G6" s="599" t="str">
        <x:v>转换请求</x:v>
      </x:c>
      <x:c r="H6" s="599" t="str">
        <x:v>ConversionAttempt</x:v>
      </x:c>
      <x:c r="I6" s="599" t="str">
        <x:v>统一ID、审计、异步任务</x:v>
      </x:c>
      <x:c r="J6" s="599" t="str">
        <x:v>每次重试产生新记录，历史不可覆盖。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任何转换失败都能定位到具体阶段和错误。</x:v>
      </x:c>
      <x:c r="P6" s="615" t="str">
        <x:v>未开始</x:v>
      </x:c>
      <x:c r="Q6" s="615" t="str"/>
      <x:c r="R6" s="600" t="str"/>
    </x:row>
    <x:row r="7" ht="34" customHeight="1">
      <x:c r="A7" s="660" t="n">
        <x:v>3</x:v>
      </x:c>
      <x:c r="B7" s="420" t="str">
        <x:v>Asset-to-Case 转换与统一拦截域</x:v>
      </x:c>
      <x:c r="C7" s="420" t="str">
        <x:v>分析</x:v>
      </x:c>
      <x:c r="D7" s="420" t="str">
        <x:v>场景识别</x:v>
      </x:c>
      <x:c r="E7" s="420" t="str">
        <x:v>识别功能、异常、安全、性能、兼容等场景，可多标签。</x:v>
      </x:c>
      <x:c r="F7" s="661" t="str">
        <x:v>处理</x:v>
      </x:c>
      <x:c r="G7" s="420" t="str">
        <x:v>自然语言资产</x:v>
      </x:c>
      <x:c r="H7" s="420" t="str">
        <x:v>scenario_types</x:v>
      </x:c>
      <x:c r="I7" s="420" t="str">
        <x:v>AI模型、规则中心</x:v>
      </x:c>
      <x:c r="J7" s="420" t="str">
        <x:v>V1先支持 functional/negative/boundary。</x:v>
      </x:c>
      <x:c r="K7" s="661" t="str">
        <x:v>原图</x:v>
      </x:c>
      <x:c r="L7" s="661" t="str">
        <x:v>是</x:v>
      </x:c>
      <x:c r="M7" s="661" t="str">
        <x:v>P0</x:v>
      </x:c>
      <x:c r="N7" s="661" t="str">
        <x:v>是</x:v>
      </x:c>
      <x:c r="O7" s="420" t="str">
        <x:v>识别结果可人工覆盖且可追踪来源。</x:v>
      </x:c>
      <x:c r="P7" s="661" t="str">
        <x:v>未开始</x:v>
      </x:c>
      <x:c r="Q7" s="661" t="str"/>
      <x:c r="R7" s="421" t="str"/>
    </x:row>
    <x:row r="8" ht="34" customHeight="1">
      <x:c r="A8" s="613" t="n">
        <x:v>3</x:v>
      </x:c>
      <x:c r="B8" s="599" t="str">
        <x:v>Asset-to-Case 转换与统一拦截域</x:v>
      </x:c>
      <x:c r="C8" s="599" t="str">
        <x:v>分析</x:v>
      </x:c>
      <x:c r="D8" s="599" t="str">
        <x:v>执行需求分析</x:v>
      </x:c>
      <x:c r="E8" s="599" t="str">
        <x:v>提取页面、元素、数据、环境、断言和能力需求。</x:v>
      </x:c>
      <x:c r="F8" s="615" t="str">
        <x:v>处理</x:v>
      </x:c>
      <x:c r="G8" s="599" t="str">
        <x:v>AssetVersion、scenario_types</x:v>
      </x:c>
      <x:c r="H8" s="599" t="str">
        <x:v>resource requirements</x:v>
      </x:c>
      <x:c r="I8" s="599" t="str">
        <x:v>场景识别、Prompt/规则</x:v>
      </x:c>
      <x:c r="J8" s="599" t="str">
        <x:v>不得直接生成真实 locator、密码或最终脚本。</x:v>
      </x:c>
      <x:c r="K8" s="615" t="str">
        <x:v>原图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输出完整资源需求，缺失信息形成结构化问题。</x:v>
      </x:c>
      <x:c r="P8" s="615" t="str">
        <x:v>未开始</x:v>
      </x:c>
      <x:c r="Q8" s="615" t="str"/>
      <x:c r="R8" s="600" t="str"/>
    </x:row>
    <x:row r="9" ht="34" customHeight="1">
      <x:c r="A9" s="660" t="n">
        <x:v>3</x:v>
      </x:c>
      <x:c r="B9" s="420" t="str">
        <x:v>Asset-to-Case 转换与统一拦截域</x:v>
      </x:c>
      <x:c r="C9" s="420" t="str">
        <x:v>中间模型</x:v>
      </x:c>
      <x:c r="D9" s="420" t="str">
        <x:v>Execution Requirement Manifest</x:v>
      </x:c>
      <x:c r="E9" s="420" t="str">
        <x:v>结构化声明执行所需的资源类型和约束。</x:v>
      </x:c>
      <x:c r="F9" s="661" t="str">
        <x:v>文档/模型</x:v>
      </x:c>
      <x:c r="G9" s="420" t="str">
        <x:v>执行需求分析结果</x:v>
      </x:c>
      <x:c r="H9" s="420" t="str">
        <x:v>versioned Manifest</x:v>
      </x:c>
      <x:c r="I9" s="420" t="str">
        <x:v>Schema管理</x:v>
      </x:c>
      <x:c r="J9" s="420" t="str">
        <x:v>Manifest 只描述需求，不包含绑定后的具体资源。</x:v>
      </x:c>
      <x:c r="K9" s="661" t="str">
        <x:v>原图</x:v>
      </x:c>
      <x:c r="L9" s="661" t="str">
        <x:v>是</x:v>
      </x:c>
      <x:c r="M9" s="661" t="str">
        <x:v>P0</x:v>
      </x:c>
      <x:c r="N9" s="661" t="str">
        <x:v>是</x:v>
      </x:c>
      <x:c r="O9" s="420" t="str">
        <x:v>Manifest 可验证、可持久化、可重放。</x:v>
      </x:c>
      <x:c r="P9" s="661" t="str">
        <x:v>未开始</x:v>
      </x:c>
      <x:c r="Q9" s="661" t="str"/>
      <x:c r="R9" s="421" t="str"/>
    </x:row>
    <x:row r="10" ht="34" customHeight="1">
      <x:c r="A10" s="613" t="n">
        <x:v>3</x:v>
      </x:c>
      <x:c r="B10" s="599" t="str">
        <x:v>Asset-to-Case 转换与统一拦截域</x:v>
      </x:c>
      <x:c r="C10" s="599" t="str">
        <x:v>资源编排</x:v>
      </x:c>
      <x:c r="D10" s="599" t="str">
        <x:v>公共资源编排</x:v>
      </x:c>
      <x:c r="E10" s="599" t="str">
        <x:v>通过资源能力网关解析并绑定实际资源。</x:v>
      </x:c>
      <x:c r="F10" s="615" t="str">
        <x:v>核心枢纽</x:v>
      </x:c>
      <x:c r="G10" s="599" t="str">
        <x:v>Manifest、project/environment context</x:v>
      </x:c>
      <x:c r="H10" s="599" t="str">
        <x:v>ResourceBinding 列表</x:v>
      </x:c>
      <x:c r="I10" s="599" t="str">
        <x:v>资源能力网关</x:v>
      </x:c>
      <x:c r="J10" s="599" t="str">
        <x:v>转换域不得直接访问资源库表。</x:v>
      </x:c>
      <x:c r="K10" s="615" t="str">
        <x:v>原图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所有资源返回 resource_id/version/constraints。</x:v>
      </x:c>
      <x:c r="P10" s="615" t="str">
        <x:v>未开始</x:v>
      </x:c>
      <x:c r="Q10" s="615" t="str"/>
      <x:c r="R10" s="600" t="str"/>
    </x:row>
    <x:row r="11" ht="34" customHeight="1">
      <x:c r="A11" s="660" t="n">
        <x:v>3</x:v>
      </x:c>
      <x:c r="B11" s="420" t="str">
        <x:v>Asset-to-Case 转换与统一拦截域</x:v>
      </x:c>
      <x:c r="C11" s="420" t="str">
        <x:v>中间模型</x:v>
      </x:c>
      <x:c r="D11" s="420" t="str">
        <x:v>Bound Execution Plan</x:v>
      </x:c>
      <x:c r="E11" s="420" t="str">
        <x:v>生成完整绑定的 setup/data/environment/steps/assertions/cleanup。</x:v>
      </x:c>
      <x:c r="F11" s="661" t="str">
        <x:v>文档/模型</x:v>
      </x:c>
      <x:c r="G11" s="420" t="str">
        <x:v>Manifest、ResourceBindings</x:v>
      </x:c>
      <x:c r="H11" s="420" t="str">
        <x:v>BoundExecutionPlan</x:v>
      </x:c>
      <x:c r="I11" s="420" t="str">
        <x:v>资源编排、Schema</x:v>
      </x:c>
      <x:c r="J11" s="420" t="str">
        <x:v>这是编译前权威计划，但不是 script_code。</x:v>
      </x:c>
      <x:c r="K11" s="661" t="str">
        <x:v>原图</x:v>
      </x:c>
      <x:c r="L11" s="661" t="str">
        <x:v>是</x:v>
      </x:c>
      <x:c r="M11" s="661" t="str">
        <x:v>P0</x:v>
      </x:c>
      <x:c r="N11" s="661" t="str">
        <x:v>是</x:v>
      </x:c>
      <x:c r="O11" s="420" t="str">
        <x:v>计划包含 runner_type 和资源版本快照。</x:v>
      </x:c>
      <x:c r="P11" s="661" t="str">
        <x:v>未开始</x:v>
      </x:c>
      <x:c r="Q11" s="661" t="str"/>
      <x:c r="R11" s="421" t="str"/>
    </x:row>
    <x:row r="12" ht="34" customHeight="1">
      <x:c r="A12" s="613" t="n">
        <x:v>3</x:v>
      </x:c>
      <x:c r="B12" s="599" t="str">
        <x:v>Asset-to-Case 转换与统一拦截域</x:v>
      </x:c>
      <x:c r="C12" s="599" t="str">
        <x:v>矩阵展开</x:v>
      </x:c>
      <x:c r="D12" s="599" t="str">
        <x:v>测试用例矩阵展开</x:v>
      </x:c>
      <x:c r="E12" s="599" t="str">
        <x:v>按数据、环境、设备、场景组合展开一资产多用例。</x:v>
      </x:c>
      <x:c r="F12" s="615" t="str">
        <x:v>处理</x:v>
      </x:c>
      <x:c r="G12" s="599" t="str">
        <x:v>BoundExecutionPlan、dimension rules</x:v>
      </x:c>
      <x:c r="H12" s="599" t="str">
        <x:v>Plan Variant 列表</x:v>
      </x:c>
      <x:c r="I12" s="599" t="str">
        <x:v>测试数据工厂、环境中心</x:v>
      </x:c>
      <x:c r="J12" s="599" t="str">
        <x:v>必须限制组合爆炸并允许配置上限。</x:v>
      </x:c>
      <x:c r="K12" s="615" t="str">
        <x:v>原图</x:v>
      </x:c>
      <x:c r="L12" s="615" t="str">
        <x:v>否</x:v>
      </x:c>
      <x:c r="M12" s="615" t="str">
        <x:v>P1</x:v>
      </x:c>
      <x:c r="N12" s="615" t="str">
        <x:v>否</x:v>
      </x:c>
      <x:c r="O12" s="599" t="str">
        <x:v>一条资产可生成多条可追踪测试用例。</x:v>
      </x:c>
      <x:c r="P12" s="615" t="str">
        <x:v>未开始</x:v>
      </x:c>
      <x:c r="Q12" s="615" t="str"/>
      <x:c r="R12" s="600" t="str"/>
    </x:row>
    <x:row r="13" ht="34" customHeight="1">
      <x:c r="A13" s="660" t="n">
        <x:v>3</x:v>
      </x:c>
      <x:c r="B13" s="420" t="str">
        <x:v>Asset-to-Case 转换与统一拦截域</x:v>
      </x:c>
      <x:c r="C13" s="420" t="str">
        <x:v>质量门</x:v>
      </x:c>
      <x:c r="D13" s="420" t="str">
        <x:v>统一转换质量门</x:v>
      </x:c>
      <x:c r="E13" s="420" t="str">
        <x:v>集中执行资产、资源、环境、执行完整性和治理规则。</x:v>
      </x:c>
      <x:c r="F13" s="661" t="str">
        <x:v>核心枢纽</x:v>
      </x:c>
      <x:c r="G13" s="420" t="str">
        <x:v>BoundExecutionPlan、Policy</x:v>
      </x:c>
      <x:c r="H13" s="420" t="str">
        <x:v>pass/block、ConversionError</x:v>
      </x:c>
      <x:c r="I13" s="420" t="str">
        <x:v>规则策略中心</x:v>
      </x:c>
      <x:c r="J13" s="420" t="str">
        <x:v>所有执行相关拦截只允许在此或其规则插件发生。</x:v>
      </x:c>
      <x:c r="K13" s="661" t="str">
        <x:v>原图</x:v>
      </x:c>
      <x:c r="L13" s="661" t="str">
        <x:v>是</x:v>
      </x:c>
      <x:c r="M13" s="661" t="str">
        <x:v>P0</x:v>
      </x:c>
      <x:c r="N13" s="661" t="str">
        <x:v>是</x:v>
      </x:c>
      <x:c r="O13" s="420" t="str">
        <x:v>阻断时不创建 TestCase，并返回可修复错误。</x:v>
      </x:c>
      <x:c r="P13" s="661" t="str">
        <x:v>未开始</x:v>
      </x:c>
      <x:c r="Q13" s="661" t="str"/>
      <x:c r="R13" s="421" t="str"/>
    </x:row>
    <x:row r="14" ht="34" customHeight="1">
      <x:c r="A14" s="613" t="n">
        <x:v>3</x:v>
      </x:c>
      <x:c r="B14" s="599" t="str">
        <x:v>Asset-to-Case 转换与统一拦截域</x:v>
      </x:c>
      <x:c r="C14" s="599" t="str">
        <x:v>错误模型</x:v>
      </x:c>
      <x:c r="D14" s="599" t="str">
        <x:v>结构化转换错误</x:v>
      </x:c>
      <x:c r="E14" s="599" t="str">
        <x:v>统一错误码、阶段、步骤、资源、候选项和修复建议。</x:v>
      </x:c>
      <x:c r="F14" s="615" t="str">
        <x:v>补充模型</x:v>
      </x:c>
      <x:c r="G14" s="599" t="str">
        <x:v>各转换阶段异常</x:v>
      </x:c>
      <x:c r="H14" s="599" t="str">
        <x:v>ConversionError</x:v>
      </x:c>
      <x:c r="I14" s="599" t="str">
        <x:v>ConversionAttempt、前端</x:v>
      </x:c>
      <x:c r="J14" s="599" t="str">
        <x:v>禁止只返回不可定位字符串。</x:v>
      </x:c>
      <x:c r="K14" s="615" t="str">
        <x:v>补充</x:v>
      </x:c>
      <x:c r="L14" s="615" t="str">
        <x:v>是</x:v>
      </x:c>
      <x:c r="M14" s="615" t="str">
        <x:v>P0</x:v>
      </x:c>
      <x:c r="N14" s="615" t="str">
        <x:v>是</x:v>
      </x:c>
      <x:c r="O14" s="599" t="str">
        <x:v>前端可直接定位到问题步骤或缺失资源。</x:v>
      </x:c>
      <x:c r="P14" s="615" t="str">
        <x:v>未开始</x:v>
      </x:c>
      <x:c r="Q14" s="615" t="str"/>
      <x:c r="R14" s="600" t="str"/>
    </x:row>
    <x:row r="15" ht="34" customHeight="1">
      <x:c r="A15" s="660" t="n">
        <x:v>3</x:v>
      </x:c>
      <x:c r="B15" s="420" t="str">
        <x:v>Asset-to-Case 转换与统一拦截域</x:v>
      </x:c>
      <x:c r="C15" s="420" t="str">
        <x:v>路由</x:v>
      </x:c>
      <x:c r="D15" s="420" t="str">
        <x:v>Compiler Router</x:v>
      </x:c>
      <x:c r="E15" s="420" t="str">
        <x:v>根据 runner_type 和能力选择正确编译器。</x:v>
      </x:c>
      <x:c r="F15" s="661" t="str">
        <x:v>路由</x:v>
      </x:c>
      <x:c r="G15" s="420" t="str">
        <x:v>BoundExecutionPlan</x:v>
      </x:c>
      <x:c r="H15" s="420" t="str">
        <x:v>compiler selection</x:v>
      </x:c>
      <x:c r="I15" s="420" t="str">
        <x:v>Compiler Registry</x:v>
      </x:c>
      <x:c r="J15" s="420" t="str">
        <x:v>V1只允许明确支持的编译器，未知类型阻断。</x:v>
      </x:c>
      <x:c r="K15" s="661" t="str">
        <x:v>原图</x:v>
      </x:c>
      <x:c r="L15" s="661" t="str">
        <x:v>是</x:v>
      </x:c>
      <x:c r="M15" s="661" t="str">
        <x:v>P0</x:v>
      </x:c>
      <x:c r="N15" s="661" t="str">
        <x:v>是</x:v>
      </x:c>
      <x:c r="O15" s="420" t="str">
        <x:v>不同场景不再强行进入同一 DSL。</x:v>
      </x:c>
      <x:c r="P15" s="661" t="str">
        <x:v>未开始</x:v>
      </x:c>
      <x:c r="Q15" s="661" t="str"/>
      <x:c r="R15" s="421" t="str"/>
    </x:row>
    <x:row r="16" ht="34" customHeight="1">
      <x:c r="A16" s="613" t="n">
        <x:v>3</x:v>
      </x:c>
      <x:c r="B16" s="599" t="str">
        <x:v>Asset-to-Case 转换与统一拦截域</x:v>
      </x:c>
      <x:c r="C16" s="599" t="str">
        <x:v>生成</x:v>
      </x:c>
      <x:c r="D16" s="599" t="str">
        <x:v>测试用例生成与版本服务</x:v>
      </x:c>
      <x:c r="E16" s="599" t="str">
        <x:v>编译成功后事务化创建 TestCase/TestCaseVersion。</x:v>
      </x:c>
      <x:c r="F16" s="615" t="str">
        <x:v>服务</x:v>
      </x:c>
      <x:c r="G16" s="599" t="str">
        <x:v>编译结果、资源快照</x:v>
      </x:c>
      <x:c r="H16" s="599" t="str">
        <x:v>test_case、script_code</x:v>
      </x:c>
      <x:c r="I16" s="599" t="str">
        <x:v>数据库、版本管理</x:v>
      </x:c>
      <x:c r="J16" s="599" t="str">
        <x:v>只有质量门和编译都通过才写入。</x:v>
      </x:c>
      <x:c r="K16" s="615" t="str">
        <x:v>原图</x:v>
      </x:c>
      <x:c r="L16" s="615" t="str">
        <x:v>是</x:v>
      </x:c>
      <x:c r="M16" s="615" t="str">
        <x:v>P0</x:v>
      </x:c>
      <x:c r="N16" s="615" t="str">
        <x:v>是</x:v>
      </x:c>
      <x:c r="O16" s="599" t="str">
        <x:v>script_code 只由编译器产生并成为执行事实源。</x:v>
      </x:c>
      <x:c r="P16" s="615" t="str">
        <x:v>未开始</x:v>
      </x:c>
      <x:c r="Q16" s="615" t="str"/>
      <x:c r="R16" s="600" t="str"/>
    </x:row>
    <x:row r="17" ht="34" customHeight="1">
      <x:c r="A17" s="660" t="n">
        <x:v>3</x:v>
      </x:c>
      <x:c r="B17" s="420" t="str">
        <x:v>Asset-to-Case 转换与统一拦截域</x:v>
      </x:c>
      <x:c r="C17" s="420" t="str">
        <x:v>恢复</x:v>
      </x:c>
      <x:c r="D17" s="420" t="str">
        <x:v>转换重试与重放</x:v>
      </x:c>
      <x:c r="E17" s="420" t="str">
        <x:v>支持修复资产或资源后重新转换。</x:v>
      </x:c>
      <x:c r="F17" s="661" t="str">
        <x:v>补充服务</x:v>
      </x:c>
      <x:c r="G17" s="420" t="str">
        <x:v>blocked attempt、最新资产/资源</x:v>
      </x:c>
      <x:c r="H17" s="420" t="str">
        <x:v>new ConversionAttempt</x:v>
      </x:c>
      <x:c r="I17" s="420" t="str">
        <x:v>ConversionAttempt、缓存</x:v>
      </x:c>
      <x:c r="J17" s="420" t="str">
        <x:v>不得覆盖历史失败；可复用未变化分析但必须重新校验。</x:v>
      </x:c>
      <x:c r="K17" s="661" t="str">
        <x:v>补充</x:v>
      </x:c>
      <x:c r="L17" s="661" t="str">
        <x:v>否</x:v>
      </x:c>
      <x:c r="M17" s="661" t="str">
        <x:v>P1</x:v>
      </x:c>
      <x:c r="N17" s="661" t="str">
        <x:v>否</x:v>
      </x:c>
      <x:c r="O17" s="420" t="str">
        <x:v>用户可看到每次尝试和差异。</x:v>
      </x:c>
      <x:c r="P17" s="661" t="str">
        <x:v>未开始</x:v>
      </x:c>
      <x:c r="Q17" s="661" t="str"/>
      <x:c r="R17" s="421" t="str"/>
    </x:row>
    <x:row r="18" ht="34" customHeight="1">
      <x:c r="A18" s="613" t="n">
        <x:v>3</x:v>
      </x:c>
      <x:c r="B18" s="599" t="str">
        <x:v>Asset-to-Case 转换与统一拦截域</x:v>
      </x:c>
      <x:c r="C18" s="599" t="str">
        <x:v>可观测性</x:v>
      </x:c>
      <x:c r="D18" s="599" t="str">
        <x:v>转换指标与追踪</x:v>
      </x:c>
      <x:c r="E18" s="599" t="str">
        <x:v>统计阶段耗时、失败率、资源缺失和规则命中。</x:v>
      </x:c>
      <x:c r="F18" s="615" t="str">
        <x:v>补充运维</x:v>
      </x:c>
      <x:c r="G18" s="599" t="str">
        <x:v>attempt_id、stage events</x:v>
      </x:c>
      <x:c r="H18" s="599" t="str">
        <x:v>Metrics、Dashboard</x:v>
      </x:c>
      <x:c r="I18" s="599" t="str">
        <x:v>可观测性、审计</x:v>
      </x:c>
      <x:c r="J18" s="599" t="str">
        <x:v>敏感资源只记录引用。</x:v>
      </x:c>
      <x:c r="K18" s="615" t="str">
        <x:v>补充</x:v>
      </x:c>
      <x:c r="L18" s="615" t="str">
        <x:v>是</x:v>
      </x:c>
      <x:c r="M18" s="615" t="str">
        <x:v>P1</x:v>
      </x:c>
      <x:c r="N18" s="615" t="str">
        <x:v>否</x:v>
      </x:c>
      <x:c r="O18" s="599" t="str">
        <x:v>能定位最常见的转换阻塞原因。</x:v>
      </x:c>
      <x:c r="P18" s="615" t="str">
        <x:v>未开始</x:v>
      </x:c>
      <x:c r="Q18" s="615" t="str"/>
      <x:c r="R18" s="600" t="str"/>
    </x:row>
  </x:sheetData>
  <x:mergeCells>
    <x:mergeCell ref="A1:R1"/>
  </x:mergeCells>
  <x:conditionalFormatting sqref="K4:K18">
    <x:cfRule type="expression" dxfId="68" priority="1">
      <x:formula>K4="补充"</x:formula>
    </x:cfRule>
    <x:cfRule type="expression" dxfId="69" priority="2">
      <x:formula>K4="原图"</x:formula>
    </x:cfRule>
  </x:conditionalFormatting>
  <x:conditionalFormatting sqref="L4:L18">
    <x:cfRule type="expression" dxfId="70" priority="3">
      <x:formula>L4="是"</x:formula>
    </x:cfRule>
    <x:cfRule type="expression" dxfId="71" priority="4">
      <x:formula>L4="否"</x:formula>
    </x:cfRule>
  </x:conditionalFormatting>
  <x:conditionalFormatting sqref="M4:M18">
    <x:cfRule type="expression" dxfId="72" priority="5">
      <x:formula>M4="P0"</x:formula>
    </x:cfRule>
    <x:cfRule type="expression" dxfId="73" priority="6">
      <x:formula>M4="P1"</x:formula>
    </x:cfRule>
    <x:cfRule type="expression" dxfId="74" priority="7">
      <x:formula>M4="P2"</x:formula>
    </x:cfRule>
  </x:conditionalFormatting>
  <x:conditionalFormatting sqref="N4:N18">
    <x:cfRule type="expression" dxfId="75" priority="8">
      <x:formula>N4="是"</x:formula>
    </x:cfRule>
    <x:cfRule type="expression" dxfId="76" priority="9">
      <x:formula>N4="否"</x:formula>
    </x:cfRule>
  </x:conditionalFormatting>
  <x:conditionalFormatting sqref="P4:P18">
    <x:cfRule type="expression" dxfId="77" priority="10">
      <x:formula>P4="未开始"</x:formula>
    </x:cfRule>
    <x:cfRule type="expression" dxfId="78" priority="11">
      <x:formula>P4="进行中"</x:formula>
    </x:cfRule>
    <x:cfRule type="expression" dxfId="79" priority="12">
      <x:formula>P4="阻塞"</x:formula>
    </x:cfRule>
    <x:cfRule type="expression" dxfId="80" priority="13">
      <x:formula>P4="已完成"</x:formula>
    </x:cfRule>
    <x:cfRule type="expression" dxfId="81" priority="14">
      <x:formula>P4="已取消"</x:formula>
    </x:cfRule>
  </x:conditionalFormatting>
  <x:dataValidations count="1">
    <x:dataValidation type="list" sqref="P4:P18">
      <x:formula1>"未开始,进行中,阻塞,已完成,已取消"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69" t="str">
        <x:v>4. 公共资源与能力域</x:v>
      </x:c>
      <x:c r="B1" s="670"/>
      <x:c r="C1" s="670"/>
      <x:c r="D1" s="670"/>
      <x:c r="E1" s="670"/>
      <x:c r="F1" s="670"/>
      <x:c r="G1" s="670"/>
      <x:c r="H1" s="670"/>
      <x:c r="I1" s="670"/>
      <x:c r="J1" s="670"/>
      <x:c r="K1" s="670"/>
      <x:c r="L1" s="670"/>
      <x:c r="M1" s="670"/>
      <x:c r="N1" s="670"/>
      <x:c r="O1" s="670"/>
      <x:c r="P1" s="670"/>
      <x:c r="Q1" s="670"/>
      <x:c r="R1" s="671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4</x:v>
      </x:c>
      <x:c r="B4" s="599" t="str">
        <x:v>公共资源与能力域</x:v>
      </x:c>
      <x:c r="C4" s="599" t="str">
        <x:v>网关</x:v>
      </x:c>
      <x:c r="D4" s="599" t="str">
        <x:v>资源能力网关</x:v>
      </x:c>
      <x:c r="E4" s="599" t="str">
        <x:v>统一资源查询、权限检查、能力发现和版本化绑定。</x:v>
      </x:c>
      <x:c r="F4" s="615" t="str">
        <x:v>核心枢纽</x:v>
      </x:c>
      <x:c r="G4" s="599" t="str">
        <x:v>ResourceRequest</x:v>
      </x:c>
      <x:c r="H4" s="599" t="str">
        <x:v>ResourceBinding / ResourceError</x:v>
      </x:c>
      <x:c r="I4" s="599" t="str">
        <x:v>各资源中心、权限、缓存</x:v>
      </x:c>
      <x:c r="J4" s="599" t="str">
        <x:v>是转换域访问公共资源的唯一入口。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转换域无需了解资源内部存储实现。</x:v>
      </x:c>
      <x:c r="P4" s="615" t="str">
        <x:v>未开始</x:v>
      </x:c>
      <x:c r="Q4" s="615" t="str"/>
      <x:c r="R4" s="600" t="str"/>
    </x:row>
    <x:row r="5" ht="34" customHeight="1">
      <x:c r="A5" s="675" t="n">
        <x:v>4</x:v>
      </x:c>
      <x:c r="B5" s="426" t="str">
        <x:v>公共资源与能力域</x:v>
      </x:c>
      <x:c r="C5" s="426" t="str">
        <x:v>资源治理</x:v>
      </x:c>
      <x:c r="D5" s="426" t="str">
        <x:v>资源元数据与版本注册</x:v>
      </x:c>
      <x:c r="E5" s="426" t="str">
        <x:v>统一记录资源类型、ID、版本、状态和能力元数据。</x:v>
      </x:c>
      <x:c r="F5" s="676" t="str">
        <x:v>补充治理</x:v>
      </x:c>
      <x:c r="G5" s="426" t="str">
        <x:v>资源发布信息</x:v>
      </x:c>
      <x:c r="H5" s="426" t="str">
        <x:v>ResourceDescriptor</x:v>
      </x:c>
      <x:c r="I5" s="426" t="str">
        <x:v>版本管理、事件总线</x:v>
      </x:c>
      <x:c r="J5" s="426" t="str">
        <x:v>所有可绑定资源必须版本化。</x:v>
      </x:c>
      <x:c r="K5" s="676" t="str">
        <x:v>补充</x:v>
      </x:c>
      <x:c r="L5" s="676" t="str">
        <x:v>是</x:v>
      </x:c>
      <x:c r="M5" s="676" t="str">
        <x:v>P0</x:v>
      </x:c>
      <x:c r="N5" s="676" t="str">
        <x:v>是</x:v>
      </x:c>
      <x:c r="O5" s="426" t="str">
        <x:v>网关返回资源时始终包含版本。</x:v>
      </x:c>
      <x:c r="P5" s="676" t="str">
        <x:v>未开始</x:v>
      </x:c>
      <x:c r="Q5" s="676" t="str"/>
      <x:c r="R5" s="427" t="str"/>
    </x:row>
    <x:row r="6" ht="34" customHeight="1">
      <x:c r="A6" s="613" t="n">
        <x:v>4</x:v>
      </x:c>
      <x:c r="B6" s="599" t="str">
        <x:v>公共资源与能力域</x:v>
      </x:c>
      <x:c r="C6" s="599" t="str">
        <x:v>页面对象</x:v>
      </x:c>
      <x:c r="D6" s="599" t="str">
        <x:v>页面对象中心</x:v>
      </x:c>
      <x:c r="E6" s="599" t="str">
        <x:v>管理页面、元素、别名、定位器、动作和页面版本。</x:v>
      </x:c>
      <x:c r="F6" s="615" t="str">
        <x:v>资源库</x:v>
      </x:c>
      <x:c r="G6" s="599" t="str">
        <x:v>Page/PageVersion/Element</x:v>
      </x:c>
      <x:c r="H6" s="599" t="str">
        <x:v>page/element bindings</x:v>
      </x:c>
      <x:c r="I6" s="599" t="str">
        <x:v>项目作用域、版本管理</x:v>
      </x:c>
      <x:c r="J6" s="599" t="str">
        <x:v>target 必须来自页面对象中心，AI不得编造。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元素可唯一匹配并声明 supported_actions。</x:v>
      </x:c>
      <x:c r="P6" s="615" t="str">
        <x:v>未开始</x:v>
      </x:c>
      <x:c r="Q6" s="615" t="str"/>
      <x:c r="R6" s="600" t="str"/>
    </x:row>
    <x:row r="7" ht="34" customHeight="1">
      <x:c r="A7" s="675" t="n">
        <x:v>4</x:v>
      </x:c>
      <x:c r="B7" s="426" t="str">
        <x:v>公共资源与能力域</x:v>
      </x:c>
      <x:c r="C7" s="426" t="str">
        <x:v>测试数据</x:v>
      </x:c>
      <x:c r="D7" s="426" t="str">
        <x:v>测试数据工厂</x:v>
      </x:c>
      <x:c r="E7" s="426" t="str">
        <x:v>管理固定数据、动态生成、约束、setup 和 cleanup。</x:v>
      </x:c>
      <x:c r="F7" s="676" t="str">
        <x:v>资源库</x:v>
      </x:c>
      <x:c r="G7" s="426" t="str">
        <x:v>data requirement</x:v>
      </x:c>
      <x:c r="H7" s="426" t="str">
        <x:v>data_ref、generator_ref、cleanup plan</x:v>
      </x:c>
      <x:c r="I7" s="426" t="str">
        <x:v>凭证中心、环境中心</x:v>
      </x:c>
      <x:c r="J7" s="426" t="str">
        <x:v>敏感值只返回引用，不能写入 script_code。</x:v>
      </x:c>
      <x:c r="K7" s="676" t="str">
        <x:v>原图</x:v>
      </x:c>
      <x:c r="L7" s="676" t="str">
        <x:v>是</x:v>
      </x:c>
      <x:c r="M7" s="676" t="str">
        <x:v>P0</x:v>
      </x:c>
      <x:c r="N7" s="676" t="str">
        <x:v>是</x:v>
      </x:c>
      <x:c r="O7" s="426" t="str">
        <x:v>V1可提供固定数据和简单动态数据引用。</x:v>
      </x:c>
      <x:c r="P7" s="676" t="str">
        <x:v>未开始</x:v>
      </x:c>
      <x:c r="Q7" s="676" t="str"/>
      <x:c r="R7" s="427" t="str"/>
    </x:row>
    <x:row r="8" ht="34" customHeight="1">
      <x:c r="A8" s="613" t="n">
        <x:v>4</x:v>
      </x:c>
      <x:c r="B8" s="599" t="str">
        <x:v>公共资源与能力域</x:v>
      </x:c>
      <x:c r="C8" s="599" t="str">
        <x:v>环境</x:v>
      </x:c>
      <x:c r="D8" s="599" t="str">
        <x:v>环境中心</x:v>
      </x:c>
      <x:c r="E8" s="599" t="str">
        <x:v>管理 Base URL、服务地址、环境类型、浏览器设备和能力白名单。</x:v>
      </x:c>
      <x:c r="F8" s="615" t="str">
        <x:v>资源库</x:v>
      </x:c>
      <x:c r="G8" s="599" t="str">
        <x:v>project/environment selection</x:v>
      </x:c>
      <x:c r="H8" s="599" t="str">
        <x:v>environment binding</x:v>
      </x:c>
      <x:c r="I8" s="599" t="str">
        <x:v>配置中心、凭证中心</x:v>
      </x:c>
      <x:c r="J8" s="599" t="str">
        <x:v>转换和执行都必须绑定明确 environment_id。</x:v>
      </x:c>
      <x:c r="K8" s="615" t="str">
        <x:v>原图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禁止隐式默认环境。</x:v>
      </x:c>
      <x:c r="P8" s="615" t="str">
        <x:v>未开始</x:v>
      </x:c>
      <x:c r="Q8" s="615" t="str"/>
      <x:c r="R8" s="600" t="str"/>
    </x:row>
    <x:row r="9" ht="34" customHeight="1">
      <x:c r="A9" s="675" t="n">
        <x:v>4</x:v>
      </x:c>
      <x:c r="B9" s="426" t="str">
        <x:v>公共资源与能力域</x:v>
      </x:c>
      <x:c r="C9" s="426" t="str">
        <x:v>凭证</x:v>
      </x:c>
      <x:c r="D9" s="426" t="str">
        <x:v>凭证与密钥中心</x:v>
      </x:c>
      <x:c r="E9" s="426" t="str">
        <x:v>安全管理账号、Token、密钥和运行时注入。</x:v>
      </x:c>
      <x:c r="F9" s="676" t="str">
        <x:v>资源库</x:v>
      </x:c>
      <x:c r="G9" s="426" t="str">
        <x:v>credential request</x:v>
      </x:c>
      <x:c r="H9" s="426" t="str">
        <x:v>credential_ref</x:v>
      </x:c>
      <x:c r="I9" s="426" t="str">
        <x:v>Vault/KMS、审计</x:v>
      </x:c>
      <x:c r="J9" s="426" t="str">
        <x:v>应用、数据库和脚本不得持久化敏感明文。</x:v>
      </x:c>
      <x:c r="K9" s="676" t="str">
        <x:v>原图</x:v>
      </x:c>
      <x:c r="L9" s="676" t="str">
        <x:v>是</x:v>
      </x:c>
      <x:c r="M9" s="676" t="str">
        <x:v>P0</x:v>
      </x:c>
      <x:c r="N9" s="676" t="str">
        <x:v>是</x:v>
      </x:c>
      <x:c r="O9" s="426" t="str">
        <x:v>Runner仅在运行时解析引用。</x:v>
      </x:c>
      <x:c r="P9" s="676" t="str">
        <x:v>未开始</x:v>
      </x:c>
      <x:c r="Q9" s="676" t="str"/>
      <x:c r="R9" s="427" t="str"/>
    </x:row>
    <x:row r="10" ht="34" customHeight="1">
      <x:c r="A10" s="613" t="n">
        <x:v>4</x:v>
      </x:c>
      <x:c r="B10" s="599" t="str">
        <x:v>公共资源与能力域</x:v>
      </x:c>
      <x:c r="C10" s="599" t="str">
        <x:v>Mock</x:v>
      </x:c>
      <x:c r="D10" s="599" t="str">
        <x:v>Mock 服务中心</x:v>
      </x:c>
      <x:c r="E10" s="599" t="str">
        <x:v>管理 Stub、响应模板、场景切换和版本。</x:v>
      </x:c>
      <x:c r="F10" s="615" t="str">
        <x:v>资源库</x:v>
      </x:c>
      <x:c r="G10" s="599" t="str">
        <x:v>Mock requirement</x:v>
      </x:c>
      <x:c r="H10" s="599" t="str">
        <x:v>mock_profile_ref</x:v>
      </x:c>
      <x:c r="I10" s="599" t="str">
        <x:v>环境中心、执行控制</x:v>
      </x:c>
      <x:c r="J10" s="599" t="str">
        <x:v>必须包含启动、停止、恢复和清理。</x:v>
      </x:c>
      <x:c r="K10" s="615" t="str">
        <x:v>原图</x:v>
      </x:c>
      <x:c r="L10" s="615" t="str">
        <x:v>否</x:v>
      </x:c>
      <x:c r="M10" s="615" t="str">
        <x:v>P2</x:v>
      </x:c>
      <x:c r="N10" s="615" t="str">
        <x:v>否</x:v>
      </x:c>
      <x:c r="O10" s="599" t="str">
        <x:v>Mock配置可版本化并按环境绑定。</x:v>
      </x:c>
      <x:c r="P10" s="615" t="str">
        <x:v>未开始</x:v>
      </x:c>
      <x:c r="Q10" s="615" t="str"/>
      <x:c r="R10" s="600" t="str"/>
    </x:row>
    <x:row r="11" ht="34" customHeight="1">
      <x:c r="A11" s="675" t="n">
        <x:v>4</x:v>
      </x:c>
      <x:c r="B11" s="426" t="str">
        <x:v>公共资源与能力域</x:v>
      </x:c>
      <x:c r="C11" s="426" t="str">
        <x:v>异常</x:v>
      </x:c>
      <x:c r="D11" s="426" t="str">
        <x:v>异常能力中心</x:v>
      </x:c>
      <x:c r="E11" s="426" t="str">
        <x:v>提供断网、弱网、延迟、丢包、超时和故障恢复能力。</x:v>
      </x:c>
      <x:c r="F11" s="676" t="str">
        <x:v>资源库</x:v>
      </x:c>
      <x:c r="G11" s="426" t="str">
        <x:v>fault requirement</x:v>
      </x:c>
      <x:c r="H11" s="426" t="str">
        <x:v>fault_profile_ref、cleanup actions</x:v>
      </x:c>
      <x:c r="I11" s="426" t="str">
        <x:v>环境中心、执行控制</x:v>
      </x:c>
      <x:c r="J11" s="426" t="str">
        <x:v>所有故障能力必须定义 restore/cleanup 和允许环境。</x:v>
      </x:c>
      <x:c r="K11" s="676" t="str">
        <x:v>原图</x:v>
      </x:c>
      <x:c r="L11" s="676" t="str">
        <x:v>否</x:v>
      </x:c>
      <x:c r="M11" s="676" t="str">
        <x:v>P1</x:v>
      </x:c>
      <x:c r="N11" s="676" t="str">
        <x:v>否</x:v>
      </x:c>
      <x:c r="O11" s="426" t="str">
        <x:v>能力可安全注入并确认恢复。</x:v>
      </x:c>
      <x:c r="P11" s="676" t="str">
        <x:v>未开始</x:v>
      </x:c>
      <x:c r="Q11" s="676" t="str"/>
      <x:c r="R11" s="427" t="str"/>
    </x:row>
    <x:row r="12" ht="34" customHeight="1">
      <x:c r="A12" s="613" t="n">
        <x:v>4</x:v>
      </x:c>
      <x:c r="B12" s="599" t="str">
        <x:v>公共资源与能力域</x:v>
      </x:c>
      <x:c r="C12" s="599" t="str">
        <x:v>安全</x:v>
      </x:c>
      <x:c r="D12" s="599" t="str">
        <x:v>安全能力中心</x:v>
      </x:c>
      <x:c r="E12" s="599" t="str">
        <x:v>提供受治理的 Payload、权限模型、Token 场景和安全策略。</x:v>
      </x:c>
      <x:c r="F12" s="615" t="str">
        <x:v>资源库</x:v>
      </x:c>
      <x:c r="G12" s="599" t="str">
        <x:v>security requirement</x:v>
      </x:c>
      <x:c r="H12" s="599" t="str">
        <x:v>security_policy_ref</x:v>
      </x:c>
      <x:c r="I12" s="599" t="str">
        <x:v>策略中心、凭证中心</x:v>
      </x:c>
      <x:c r="J12" s="599" t="str">
        <x:v>危险能力需环境限制和审批，AI不能自由生成危险Payload。</x:v>
      </x:c>
      <x:c r="K12" s="615" t="str">
        <x:v>原图</x:v>
      </x:c>
      <x:c r="L12" s="615" t="str">
        <x:v>否</x:v>
      </x:c>
      <x:c r="M12" s="615" t="str">
        <x:v>P1</x:v>
      </x:c>
      <x:c r="N12" s="615" t="str">
        <x:v>否</x:v>
      </x:c>
      <x:c r="O12" s="599" t="str">
        <x:v>安全资源有版本、审批和环境白名单。</x:v>
      </x:c>
      <x:c r="P12" s="615" t="str">
        <x:v>未开始</x:v>
      </x:c>
      <x:c r="Q12" s="615" t="str"/>
      <x:c r="R12" s="600" t="str"/>
    </x:row>
    <x:row r="13" ht="34" customHeight="1">
      <x:c r="A13" s="675" t="n">
        <x:v>4</x:v>
      </x:c>
      <x:c r="B13" s="426" t="str">
        <x:v>公共资源与能力域</x:v>
      </x:c>
      <x:c r="C13" s="426" t="str">
        <x:v>性能</x:v>
      </x:c>
      <x:c r="D13" s="426" t="str">
        <x:v>性能能力中心</x:v>
      </x:c>
      <x:c r="E13" s="426" t="str">
        <x:v>管理负载模型、并发、持续时间、阈值和性能执行器配置。</x:v>
      </x:c>
      <x:c r="F13" s="676" t="str">
        <x:v>资源库</x:v>
      </x:c>
      <x:c r="G13" s="426" t="str">
        <x:v>performance requirement</x:v>
      </x:c>
      <x:c r="H13" s="426" t="str">
        <x:v>load_profile_ref、thresholds</x:v>
      </x:c>
      <x:c r="I13" s="426" t="str">
        <x:v>环境中心、Runner Registry</x:v>
      </x:c>
      <x:c r="J13" s="426" t="str">
        <x:v>性能场景不能强行编译为普通 UI DSL。</x:v>
      </x:c>
      <x:c r="K13" s="676" t="str">
        <x:v>原图</x:v>
      </x:c>
      <x:c r="L13" s="676" t="str">
        <x:v>否</x:v>
      </x:c>
      <x:c r="M13" s="676" t="str">
        <x:v>P1</x:v>
      </x:c>
      <x:c r="N13" s="676" t="str">
        <x:v>否</x:v>
      </x:c>
      <x:c r="O13" s="426" t="str">
        <x:v>可路由到独立性能执行器。</x:v>
      </x:c>
      <x:c r="P13" s="676" t="str">
        <x:v>未开始</x:v>
      </x:c>
      <x:c r="Q13" s="676" t="str"/>
      <x:c r="R13" s="427" t="str"/>
    </x:row>
    <x:row r="14" ht="34" customHeight="1">
      <x:c r="A14" s="613" t="n">
        <x:v>4</x:v>
      </x:c>
      <x:c r="B14" s="599" t="str">
        <x:v>公共资源与能力域</x:v>
      </x:c>
      <x:c r="C14" s="599" t="str">
        <x:v>原子能力</x:v>
      </x:c>
      <x:c r="D14" s="599" t="str">
        <x:v>原子能力注册中心</x:v>
      </x:c>
      <x:c r="E14" s="599" t="str">
        <x:v>注册可复用动作、断言、Hook 和Runner支持信息。</x:v>
      </x:c>
      <x:c r="F14" s="615" t="str">
        <x:v>资源库</x:v>
      </x:c>
      <x:c r="G14" s="599" t="str">
        <x:v>capability package</x:v>
      </x:c>
      <x:c r="H14" s="599" t="str">
        <x:v>capability descriptor</x:v>
      </x:c>
      <x:c r="I14" s="599" t="str">
        <x:v>Compiler/Runner Registry</x:v>
      </x:c>
      <x:c r="J14" s="599" t="str">
        <x:v>能力 code 和版本必须唯一；避免和DSL重复定义。</x:v>
      </x:c>
      <x:c r="K14" s="615" t="str">
        <x:v>原图</x:v>
      </x:c>
      <x:c r="L14" s="615" t="str">
        <x:v>是</x:v>
      </x:c>
      <x:c r="M14" s="615" t="str">
        <x:v>P1</x:v>
      </x:c>
      <x:c r="N14" s="615" t="str">
        <x:v>否</x:v>
      </x:c>
      <x:c r="O14" s="599" t="str">
        <x:v>转换时可查询可用动作和断言。</x:v>
      </x:c>
      <x:c r="P14" s="615" t="str">
        <x:v>未开始</x:v>
      </x:c>
      <x:c r="Q14" s="615" t="str"/>
      <x:c r="R14" s="600" t="str"/>
    </x:row>
    <x:row r="15" ht="34" customHeight="1">
      <x:c r="A15" s="675" t="n">
        <x:v>4</x:v>
      </x:c>
      <x:c r="B15" s="426" t="str">
        <x:v>公共资源与能力域</x:v>
      </x:c>
      <x:c r="C15" s="426" t="str">
        <x:v>策略</x:v>
      </x:c>
      <x:c r="D15" s="426" t="str">
        <x:v>规则与治理策略中心</x:v>
      </x:c>
      <x:c r="E15" s="426" t="str">
        <x:v>统一管理环境限制、审批、安全和质量规则。</x:v>
      </x:c>
      <x:c r="F15" s="676" t="str">
        <x:v>策略中心</x:v>
      </x:c>
      <x:c r="G15" s="426" t="str">
        <x:v>Policy、项目/环境上下文</x:v>
      </x:c>
      <x:c r="H15" s="426" t="str">
        <x:v>policy evaluation</x:v>
      </x:c>
      <x:c r="I15" s="426" t="str">
        <x:v>版本管理、审计</x:v>
      </x:c>
      <x:c r="J15" s="426" t="str">
        <x:v>策略必须版本化并进入 TestCase 资源快照。</x:v>
      </x:c>
      <x:c r="K15" s="676" t="str">
        <x:v>原图</x:v>
      </x:c>
      <x:c r="L15" s="676" t="str">
        <x:v>是</x:v>
      </x:c>
      <x:c r="M15" s="676" t="str">
        <x:v>P1</x:v>
      </x:c>
      <x:c r="N15" s="676" t="str">
        <x:v>否</x:v>
      </x:c>
      <x:c r="O15" s="426" t="str">
        <x:v>质量门可解释地输出命中规则。</x:v>
      </x:c>
      <x:c r="P15" s="676" t="str">
        <x:v>未开始</x:v>
      </x:c>
      <x:c r="Q15" s="676" t="str"/>
      <x:c r="R15" s="427" t="str"/>
    </x:row>
    <x:row r="16" ht="34" customHeight="1">
      <x:c r="A16" s="613" t="n">
        <x:v>4</x:v>
      </x:c>
      <x:c r="B16" s="599" t="str">
        <x:v>公共资源与能力域</x:v>
      </x:c>
      <x:c r="C16" s="599" t="str">
        <x:v>兼容性</x:v>
      </x:c>
      <x:c r="D16" s="599" t="str">
        <x:v>资源兼容性检查器</x:v>
      </x:c>
      <x:c r="E16" s="599" t="str">
        <x:v>检查资源、环境、Runner 和能力组合是否兼容。</x:v>
      </x:c>
      <x:c r="F16" s="615" t="str">
        <x:v>补充规则</x:v>
      </x:c>
      <x:c r="G16" s="599" t="str">
        <x:v>ResourceBindings、runner_type</x:v>
      </x:c>
      <x:c r="H16" s="599" t="str">
        <x:v>compatibility result</x:v>
      </x:c>
      <x:c r="I16" s="599" t="str">
        <x:v>策略中心、资源元数据</x:v>
      </x:c>
      <x:c r="J16" s="599" t="str">
        <x:v>绑定阶段尽早失败，避免运行时才发现冲突。</x:v>
      </x:c>
      <x:c r="K16" s="615" t="str">
        <x:v>补充</x:v>
      </x:c>
      <x:c r="L16" s="615" t="str">
        <x:v>是</x:v>
      </x:c>
      <x:c r="M16" s="615" t="str">
        <x:v>P1</x:v>
      </x:c>
      <x:c r="N16" s="615" t="str">
        <x:v>否</x:v>
      </x:c>
      <x:c r="O16" s="599" t="str">
        <x:v>不兼容组合返回结构化错误。</x:v>
      </x:c>
      <x:c r="P16" s="615" t="str">
        <x:v>未开始</x:v>
      </x:c>
      <x:c r="Q16" s="615" t="str"/>
      <x:c r="R16" s="600" t="str"/>
    </x:row>
    <x:row r="17" ht="34" customHeight="1">
      <x:c r="A17" s="675" t="n">
        <x:v>4</x:v>
      </x:c>
      <x:c r="B17" s="426" t="str">
        <x:v>公共资源与能力域</x:v>
      </x:c>
      <x:c r="C17" s="426" t="str">
        <x:v>健康</x:v>
      </x:c>
      <x:c r="D17" s="426" t="str">
        <x:v>资源健康与可用性</x:v>
      </x:c>
      <x:c r="E17" s="426" t="str">
        <x:v>监测页面对象、数据服务、环境和能力服务的可用状态。</x:v>
      </x:c>
      <x:c r="F17" s="676" t="str">
        <x:v>补充运维</x:v>
      </x:c>
      <x:c r="G17" s="426" t="str">
        <x:v>health probes</x:v>
      </x:c>
      <x:c r="H17" s="426" t="str">
        <x:v>resource_health</x:v>
      </x:c>
      <x:c r="I17" s="426" t="str">
        <x:v>监控、网关</x:v>
      </x:c>
      <x:c r="J17" s="426" t="str">
        <x:v>健康状态影响转换，但不能删除测试资产。</x:v>
      </x:c>
      <x:c r="K17" s="676" t="str">
        <x:v>补充</x:v>
      </x:c>
      <x:c r="L17" s="676" t="str">
        <x:v>否</x:v>
      </x:c>
      <x:c r="M17" s="676" t="str">
        <x:v>P1</x:v>
      </x:c>
      <x:c r="N17" s="676" t="str">
        <x:v>否</x:v>
      </x:c>
      <x:c r="O17" s="426" t="str">
        <x:v>网关可拒绝绑定已失效资源。</x:v>
      </x:c>
      <x:c r="P17" s="676" t="str">
        <x:v>未开始</x:v>
      </x:c>
      <x:c r="Q17" s="676" t="str"/>
      <x:c r="R17" s="427" t="str"/>
    </x:row>
    <x:row r="18" ht="34" customHeight="1">
      <x:c r="A18" s="613" t="n">
        <x:v>4</x:v>
      </x:c>
      <x:c r="B18" s="599" t="str">
        <x:v>公共资源与能力域</x:v>
      </x:c>
      <x:c r="C18" s="599" t="str">
        <x:v>失效</x:v>
      </x:c>
      <x:c r="D18" s="599" t="str">
        <x:v>资源失效事件</x:v>
      </x:c>
      <x:c r="E18" s="599" t="str">
        <x:v>资源变更或停用时发布失效事件，标记关联用例 stale。</x:v>
      </x:c>
      <x:c r="F18" s="615" t="str">
        <x:v>补充治理</x:v>
      </x:c>
      <x:c r="G18" s="599" t="str">
        <x:v>resource version change</x:v>
      </x:c>
      <x:c r="H18" s="599" t="str">
        <x:v>ResourceInvalidationEvent</x:v>
      </x:c>
      <x:c r="I18" s="599" t="str">
        <x:v>事件总线、用例生命周期</x:v>
      </x:c>
      <x:c r="J18" s="599" t="str">
        <x:v>需控制批量失效范围。</x:v>
      </x:c>
      <x:c r="K18" s="615" t="str">
        <x:v>补充</x:v>
      </x:c>
      <x:c r="L18" s="615" t="str">
        <x:v>是</x:v>
      </x:c>
      <x:c r="M18" s="615" t="str">
        <x:v>P1</x:v>
      </x:c>
      <x:c r="N18" s="615" t="str">
        <x:v>否</x:v>
      </x:c>
      <x:c r="O18" s="599" t="str">
        <x:v>资源更新后相关用例可被准确识别。</x:v>
      </x:c>
      <x:c r="P18" s="615" t="str">
        <x:v>未开始</x:v>
      </x:c>
      <x:c r="Q18" s="615" t="str"/>
      <x:c r="R18" s="600" t="str"/>
    </x:row>
    <x:row r="19" ht="34" customHeight="1">
      <x:c r="A19" s="675" t="n">
        <x:v>4</x:v>
      </x:c>
      <x:c r="B19" s="426" t="str">
        <x:v>公共资源与能力域</x:v>
      </x:c>
      <x:c r="C19" s="426" t="str">
        <x:v>审批</x:v>
      </x:c>
      <x:c r="D19" s="426" t="str">
        <x:v>高风险能力审批</x:v>
      </x:c>
      <x:c r="E19" s="426" t="str">
        <x:v>对安全、故障、性能等高风险资源提供审批流程。</x:v>
      </x:c>
      <x:c r="F19" s="676" t="str">
        <x:v>补充治理</x:v>
      </x:c>
      <x:c r="G19" s="426" t="str">
        <x:v>conversion request、policy result</x:v>
      </x:c>
      <x:c r="H19" s="426" t="str">
        <x:v>approval record</x:v>
      </x:c>
      <x:c r="I19" s="426" t="str">
        <x:v>RBAC、策略中心</x:v>
      </x:c>
      <x:c r="J19" s="426" t="str">
        <x:v>无审批不得绑定受限能力。</x:v>
      </x:c>
      <x:c r="K19" s="676" t="str">
        <x:v>补充</x:v>
      </x:c>
      <x:c r="L19" s="676" t="str">
        <x:v>否</x:v>
      </x:c>
      <x:c r="M19" s="676" t="str">
        <x:v>P2</x:v>
      </x:c>
      <x:c r="N19" s="676" t="str">
        <x:v>否</x:v>
      </x:c>
      <x:c r="O19" s="426" t="str">
        <x:v>高风险场景在指定环境和审批后才能执行。</x:v>
      </x:c>
      <x:c r="P19" s="676" t="str">
        <x:v>未开始</x:v>
      </x:c>
      <x:c r="Q19" s="676" t="str"/>
      <x:c r="R19" s="427" t="str"/>
    </x:row>
  </x:sheetData>
  <x:mergeCells>
    <x:mergeCell ref="A1:R1"/>
  </x:mergeCells>
  <x:conditionalFormatting sqref="K4:K19">
    <x:cfRule type="expression" dxfId="82" priority="1">
      <x:formula>K4="补充"</x:formula>
    </x:cfRule>
    <x:cfRule type="expression" dxfId="83" priority="2">
      <x:formula>K4="原图"</x:formula>
    </x:cfRule>
  </x:conditionalFormatting>
  <x:conditionalFormatting sqref="L4:L19">
    <x:cfRule type="expression" dxfId="84" priority="3">
      <x:formula>L4="是"</x:formula>
    </x:cfRule>
    <x:cfRule type="expression" dxfId="85" priority="4">
      <x:formula>L4="否"</x:formula>
    </x:cfRule>
  </x:conditionalFormatting>
  <x:conditionalFormatting sqref="M4:M19">
    <x:cfRule type="expression" dxfId="86" priority="5">
      <x:formula>M4="P0"</x:formula>
    </x:cfRule>
    <x:cfRule type="expression" dxfId="87" priority="6">
      <x:formula>M4="P1"</x:formula>
    </x:cfRule>
    <x:cfRule type="expression" dxfId="88" priority="7">
      <x:formula>M4="P2"</x:formula>
    </x:cfRule>
  </x:conditionalFormatting>
  <x:conditionalFormatting sqref="N4:N19">
    <x:cfRule type="expression" dxfId="89" priority="8">
      <x:formula>N4="是"</x:formula>
    </x:cfRule>
    <x:cfRule type="expression" dxfId="90" priority="9">
      <x:formula>N4="否"</x:formula>
    </x:cfRule>
  </x:conditionalFormatting>
  <x:conditionalFormatting sqref="P4:P19">
    <x:cfRule type="expression" dxfId="91" priority="10">
      <x:formula>P4="未开始"</x:formula>
    </x:cfRule>
    <x:cfRule type="expression" dxfId="92" priority="11">
      <x:formula>P4="进行中"</x:formula>
    </x:cfRule>
    <x:cfRule type="expression" dxfId="93" priority="12">
      <x:formula>P4="阻塞"</x:formula>
    </x:cfRule>
    <x:cfRule type="expression" dxfId="94" priority="13">
      <x:formula>P4="已完成"</x:formula>
    </x:cfRule>
    <x:cfRule type="expression" dxfId="95" priority="14">
      <x:formula>P4="已取消"</x:formula>
    </x:cfRule>
  </x:conditionalFormatting>
  <x:dataValidations count="1">
    <x:dataValidation type="list" sqref="P4:P19">
      <x:formula1>"未开始,进行中,阻塞,已完成,已取消"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84" t="str">
        <x:v>5. 测试用例、执行、证据与反馈域</x:v>
      </x:c>
      <x:c r="B1" s="685"/>
      <x:c r="C1" s="685"/>
      <x:c r="D1" s="685"/>
      <x:c r="E1" s="685"/>
      <x:c r="F1" s="685"/>
      <x:c r="G1" s="685"/>
      <x:c r="H1" s="685"/>
      <x:c r="I1" s="685"/>
      <x:c r="J1" s="685"/>
      <x:c r="K1" s="685"/>
      <x:c r="L1" s="685"/>
      <x:c r="M1" s="685"/>
      <x:c r="N1" s="685"/>
      <x:c r="O1" s="685"/>
      <x:c r="P1" s="685"/>
      <x:c r="Q1" s="685"/>
      <x:c r="R1" s="686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5</x:v>
      </x:c>
      <x:c r="B4" s="599" t="str">
        <x:v>测试用例、执行、证据与反馈域</x:v>
      </x:c>
      <x:c r="C4" s="599" t="str">
        <x:v>测试用例</x:v>
      </x:c>
      <x:c r="D4" s="599" t="str">
        <x:v>可执行测试用例库</x:v>
      </x:c>
      <x:c r="E4" s="599" t="str">
        <x:v>存储 TestCase 身份和 TestCaseVersion/script_code。</x:v>
      </x:c>
      <x:c r="F4" s="615" t="str">
        <x:v>存储</x:v>
      </x:c>
      <x:c r="G4" s="599" t="str">
        <x:v>CaseBuild result</x:v>
      </x:c>
      <x:c r="H4" s="599" t="str">
        <x:v>TestCase/TestCaseVersion</x:v>
      </x:c>
      <x:c r="I4" s="599" t="str">
        <x:v>数据库、版本管理</x:v>
      </x:c>
      <x:c r="J4" s="599" t="str">
        <x:v>script_code 是执行阶段唯一事实源。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Runner不再读取自然语言资产或临时结构。</x:v>
      </x:c>
      <x:c r="P4" s="615" t="str">
        <x:v>未开始</x:v>
      </x:c>
      <x:c r="Q4" s="615" t="str"/>
      <x:c r="R4" s="600" t="str"/>
    </x:row>
    <x:row r="5" ht="34" customHeight="1">
      <x:c r="A5" s="687" t="n">
        <x:v>5</x:v>
      </x:c>
      <x:c r="B5" s="432" t="str">
        <x:v>测试用例、执行、证据与反馈域</x:v>
      </x:c>
      <x:c r="C5" s="432" t="str">
        <x:v>测试用例</x:v>
      </x:c>
      <x:c r="D5" s="432" t="str">
        <x:v>资源绑定快照</x:v>
      </x:c>
      <x:c r="E5" s="432" t="str">
        <x:v>保存页面、数据、环境、能力、策略的版本引用。</x:v>
      </x:c>
      <x:c r="F5" s="688" t="str">
        <x:v>补充存储</x:v>
      </x:c>
      <x:c r="G5" s="432" t="str">
        <x:v>ResourceBindings</x:v>
      </x:c>
      <x:c r="H5" s="432" t="str">
        <x:v>resource_binding_snapshot</x:v>
      </x:c>
      <x:c r="I5" s="432" t="str">
        <x:v>资源版本注册</x:v>
      </x:c>
      <x:c r="J5" s="432" t="str">
        <x:v>不得保存敏感明文。</x:v>
      </x:c>
      <x:c r="K5" s="688" t="str">
        <x:v>补充</x:v>
      </x:c>
      <x:c r="L5" s="688" t="str">
        <x:v>是</x:v>
      </x:c>
      <x:c r="M5" s="688" t="str">
        <x:v>P0</x:v>
      </x:c>
      <x:c r="N5" s="688" t="str">
        <x:v>是</x:v>
      </x:c>
      <x:c r="O5" s="432" t="str">
        <x:v>可重现用例生成时依赖的全部资源版本。</x:v>
      </x:c>
      <x:c r="P5" s="688" t="str">
        <x:v>未开始</x:v>
      </x:c>
      <x:c r="Q5" s="688" t="str"/>
      <x:c r="R5" s="433" t="str"/>
    </x:row>
    <x:row r="6" ht="34" customHeight="1">
      <x:c r="A6" s="613" t="n">
        <x:v>5</x:v>
      </x:c>
      <x:c r="B6" s="599" t="str">
        <x:v>测试用例、执行、证据与反馈域</x:v>
      </x:c>
      <x:c r="C6" s="599" t="str">
        <x:v>生命周期</x:v>
      </x:c>
      <x:c r="D6" s="599" t="str">
        <x:v>用例版本与失效管理</x:v>
      </x:c>
      <x:c r="E6" s="599" t="str">
        <x:v>管理 ready/stale/disabled，并响应资产或资源变化。</x:v>
      </x:c>
      <x:c r="F6" s="615" t="str">
        <x:v>管理</x:v>
      </x:c>
      <x:c r="G6" s="599" t="str">
        <x:v>asset/resource invalidation</x:v>
      </x:c>
      <x:c r="H6" s="599" t="str">
        <x:v>case status</x:v>
      </x:c>
      <x:c r="I6" s="599" t="str">
        <x:v>事件总线、版本管理</x:v>
      </x:c>
      <x:c r="J6" s="599" t="str">
        <x:v>stale 用例不得静默执行。</x:v>
      </x:c>
      <x:c r="K6" s="615" t="str">
        <x:v>原图</x:v>
      </x:c>
      <x:c r="L6" s="615" t="str">
        <x:v>是</x:v>
      </x:c>
      <x:c r="M6" s="615" t="str">
        <x:v>P1</x:v>
      </x:c>
      <x:c r="N6" s="615" t="str">
        <x:v>否</x:v>
      </x:c>
      <x:c r="O6" s="599" t="str">
        <x:v>资源变化后可准确标记并要求重新转换。</x:v>
      </x:c>
      <x:c r="P6" s="615" t="str">
        <x:v>未开始</x:v>
      </x:c>
      <x:c r="Q6" s="615" t="str"/>
      <x:c r="R6" s="600" t="str"/>
    </x:row>
    <x:row r="7" ht="34" customHeight="1">
      <x:c r="A7" s="687" t="n">
        <x:v>5</x:v>
      </x:c>
      <x:c r="B7" s="432" t="str">
        <x:v>测试用例、执行、证据与反馈域</x:v>
      </x:c>
      <x:c r="C7" s="432" t="str">
        <x:v>调度</x:v>
      </x:c>
      <x:c r="D7" s="432" t="str">
        <x:v>任务调度中心</x:v>
      </x:c>
      <x:c r="E7" s="432" t="str">
        <x:v>管理优先级、队列、并发、定时和CI触发。</x:v>
      </x:c>
      <x:c r="F7" s="688" t="str">
        <x:v>调度</x:v>
      </x:c>
      <x:c r="G7" s="432" t="str">
        <x:v>case_ids、schedule、priority</x:v>
      </x:c>
      <x:c r="H7" s="432" t="str">
        <x:v>ExecutionJob</x:v>
      </x:c>
      <x:c r="I7" s="432" t="str">
        <x:v>MQ、项目配额</x:v>
      </x:c>
      <x:c r="J7" s="432" t="str">
        <x:v>按项目、环境和Runner限制并发。</x:v>
      </x:c>
      <x:c r="K7" s="688" t="str">
        <x:v>原图</x:v>
      </x:c>
      <x:c r="L7" s="688" t="str">
        <x:v>是</x:v>
      </x:c>
      <x:c r="M7" s="688" t="str">
        <x:v>P0</x:v>
      </x:c>
      <x:c r="N7" s="688" t="str">
        <x:v>是</x:v>
      </x:c>
      <x:c r="O7" s="432" t="str">
        <x:v>任务可查询排队、运行和完成状态。</x:v>
      </x:c>
      <x:c r="P7" s="688" t="str">
        <x:v>未开始</x:v>
      </x:c>
      <x:c r="Q7" s="688" t="str"/>
      <x:c r="R7" s="433" t="str"/>
    </x:row>
    <x:row r="8" ht="34" customHeight="1">
      <x:c r="A8" s="613" t="n">
        <x:v>5</x:v>
      </x:c>
      <x:c r="B8" s="599" t="str">
        <x:v>测试用例、执行、证据与反馈域</x:v>
      </x:c>
      <x:c r="C8" s="599" t="str">
        <x:v>执行控制</x:v>
      </x:c>
      <x:c r="D8" s="599" t="str">
        <x:v>执行控制中心</x:v>
      </x:c>
      <x:c r="E8" s="599" t="str">
        <x:v>管理环境锁、资源锁、超时、重试、取消和强制清理。</x:v>
      </x:c>
      <x:c r="F8" s="615" t="str">
        <x:v>控制</x:v>
      </x:c>
      <x:c r="G8" s="599" t="str">
        <x:v>ExecutionJob、BoundPlan snapshot</x:v>
      </x:c>
      <x:c r="H8" s="599" t="str">
        <x:v>execution control decisions</x:v>
      </x:c>
      <x:c r="I8" s="599" t="str">
        <x:v>Redis、策略中心</x:v>
      </x:c>
      <x:c r="J8" s="599" t="str">
        <x:v>异常/安全/性能场景必须使用隔离和清理。</x:v>
      </x:c>
      <x:c r="K8" s="615" t="str">
        <x:v>原图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清理失败单独记录并触发告警。</x:v>
      </x:c>
      <x:c r="P8" s="615" t="str">
        <x:v>未开始</x:v>
      </x:c>
      <x:c r="Q8" s="615" t="str"/>
      <x:c r="R8" s="600" t="str"/>
    </x:row>
    <x:row r="9" ht="34" customHeight="1">
      <x:c r="A9" s="687" t="n">
        <x:v>5</x:v>
      </x:c>
      <x:c r="B9" s="432" t="str">
        <x:v>测试用例、执行、证据与反馈域</x:v>
      </x:c>
      <x:c r="C9" s="432" t="str">
        <x:v>路由</x:v>
      </x:c>
      <x:c r="D9" s="432" t="str">
        <x:v>Runner Router</x:v>
      </x:c>
      <x:c r="E9" s="432" t="str">
        <x:v>按 runner_type 和能力将用例路由到执行器。</x:v>
      </x:c>
      <x:c r="F9" s="688" t="str">
        <x:v>路由</x:v>
      </x:c>
      <x:c r="G9" s="432" t="str">
        <x:v>TestCaseVersion</x:v>
      </x:c>
      <x:c r="H9" s="432" t="str">
        <x:v>runner selection</x:v>
      </x:c>
      <x:c r="I9" s="432" t="str">
        <x:v>Runner Registry</x:v>
      </x:c>
      <x:c r="J9" s="432" t="str">
        <x:v>不支持的runner必须在转换阶段被阻断。</x:v>
      </x:c>
      <x:c r="K9" s="688" t="str">
        <x:v>原图</x:v>
      </x:c>
      <x:c r="L9" s="688" t="str">
        <x:v>是</x:v>
      </x:c>
      <x:c r="M9" s="688" t="str">
        <x:v>P0</x:v>
      </x:c>
      <x:c r="N9" s="688" t="str">
        <x:v>是</x:v>
      </x:c>
      <x:c r="O9" s="432" t="str">
        <x:v>UI/API/性能/安全/混沌可独立扩展。</x:v>
      </x:c>
      <x:c r="P9" s="688" t="str">
        <x:v>未开始</x:v>
      </x:c>
      <x:c r="Q9" s="688" t="str"/>
      <x:c r="R9" s="433" t="str"/>
    </x:row>
    <x:row r="10" ht="34" customHeight="1">
      <x:c r="A10" s="613" t="n">
        <x:v>5</x:v>
      </x:c>
      <x:c r="B10" s="599" t="str">
        <x:v>测试用例、执行、证据与反馈域</x:v>
      </x:c>
      <x:c r="C10" s="599" t="str">
        <x:v>执行</x:v>
      </x:c>
      <x:c r="D10" s="599" t="str">
        <x:v>执行引擎</x:v>
      </x:c>
      <x:c r="E10" s="599" t="str">
        <x:v>执行 UI、API、性能、安全和混沌测试。</x:v>
      </x:c>
      <x:c r="F10" s="615" t="str">
        <x:v>执行核心</x:v>
      </x:c>
      <x:c r="G10" s="599" t="str">
        <x:v>script_code、runtime refs</x:v>
      </x:c>
      <x:c r="H10" s="599" t="str">
        <x:v>step events、raw results</x:v>
      </x:c>
      <x:c r="I10" s="599" t="str">
        <x:v>运行环境、数据/凭证注入</x:v>
      </x:c>
      <x:c r="J10" s="599" t="str">
        <x:v>只能读取 test_case 机器语言和引用。</x:v>
      </x:c>
      <x:c r="K10" s="615" t="str">
        <x:v>原图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V1先复用Playwright执行功能测试。</x:v>
      </x:c>
      <x:c r="P10" s="615" t="str">
        <x:v>未开始</x:v>
      </x:c>
      <x:c r="Q10" s="615" t="str"/>
      <x:c r="R10" s="600" t="str"/>
    </x:row>
    <x:row r="11" ht="34" customHeight="1">
      <x:c r="A11" s="687" t="n">
        <x:v>5</x:v>
      </x:c>
      <x:c r="B11" s="432" t="str">
        <x:v>测试用例、执行、证据与反馈域</x:v>
      </x:c>
      <x:c r="C11" s="432" t="str">
        <x:v>运行时</x:v>
      </x:c>
      <x:c r="D11" s="432" t="str">
        <x:v>运行上下文注入</x:v>
      </x:c>
      <x:c r="E11" s="432" t="str">
        <x:v>在执行前解析环境、数据、凭证和能力引用。</x:v>
      </x:c>
      <x:c r="F11" s="688" t="str">
        <x:v>补充服务</x:v>
      </x:c>
      <x:c r="G11" s="432" t="str">
        <x:v>resource_binding_snapshot</x:v>
      </x:c>
      <x:c r="H11" s="432" t="str">
        <x:v>runtime context</x:v>
      </x:c>
      <x:c r="I11" s="432" t="str">
        <x:v>资源能力网关、凭证中心</x:v>
      </x:c>
      <x:c r="J11" s="432" t="str">
        <x:v>运行时解析不得改变用例业务语义。</x:v>
      </x:c>
      <x:c r="K11" s="688" t="str">
        <x:v>补充</x:v>
      </x:c>
      <x:c r="L11" s="688" t="str">
        <x:v>是</x:v>
      </x:c>
      <x:c r="M11" s="688" t="str">
        <x:v>P0</x:v>
      </x:c>
      <x:c r="N11" s="688" t="str">
        <x:v>是</x:v>
      </x:c>
      <x:c r="O11" s="432" t="str">
        <x:v>敏感值只在运行时短暂存在。</x:v>
      </x:c>
      <x:c r="P11" s="688" t="str">
        <x:v>未开始</x:v>
      </x:c>
      <x:c r="Q11" s="688" t="str"/>
      <x:c r="R11" s="433" t="str"/>
    </x:row>
    <x:row r="12" ht="34" customHeight="1">
      <x:c r="A12" s="613" t="n">
        <x:v>5</x:v>
      </x:c>
      <x:c r="B12" s="599" t="str">
        <x:v>测试用例、执行、证据与反馈域</x:v>
      </x:c>
      <x:c r="C12" s="599" t="str">
        <x:v>执行记录</x:v>
      </x:c>
      <x:c r="D12" s="599" t="str">
        <x:v>执行记录库</x:v>
      </x:c>
      <x:c r="E12" s="599" t="str">
        <x:v>保存每次执行状态、环境、版本、重试和耗时。</x:v>
      </x:c>
      <x:c r="F12" s="615" t="str">
        <x:v>存储</x:v>
      </x:c>
      <x:c r="G12" s="599" t="str">
        <x:v>execution events</x:v>
      </x:c>
      <x:c r="H12" s="599" t="str">
        <x:v>Execution</x:v>
      </x:c>
      <x:c r="I12" s="599" t="str">
        <x:v>调度、Runner</x:v>
      </x:c>
      <x:c r="J12" s="599" t="str">
        <x:v>状态更新幂等，执行记录不得与报告混为一体。</x:v>
      </x:c>
      <x:c r="K12" s="615" t="str">
        <x:v>原图</x:v>
      </x:c>
      <x:c r="L12" s="615" t="str">
        <x:v>是</x:v>
      </x:c>
      <x:c r="M12" s="615" t="str">
        <x:v>P0</x:v>
      </x:c>
      <x:c r="N12" s="615" t="str">
        <x:v>是</x:v>
      </x:c>
      <x:c r="O12" s="599" t="str">
        <x:v>任意报告和证据都可关联 execution_id。</x:v>
      </x:c>
      <x:c r="P12" s="615" t="str">
        <x:v>未开始</x:v>
      </x:c>
      <x:c r="Q12" s="615" t="str"/>
      <x:c r="R12" s="600" t="str"/>
    </x:row>
    <x:row r="13" ht="34" customHeight="1">
      <x:c r="A13" s="687" t="n">
        <x:v>5</x:v>
      </x:c>
      <x:c r="B13" s="432" t="str">
        <x:v>测试用例、执行、证据与反馈域</x:v>
      </x:c>
      <x:c r="C13" s="432" t="str">
        <x:v>断言</x:v>
      </x:c>
      <x:c r="D13" s="432" t="str">
        <x:v>断言评估引擎</x:v>
      </x:c>
      <x:c r="E13" s="432" t="str">
        <x:v>统一评估业务、技术和指标断言。</x:v>
      </x:c>
      <x:c r="F13" s="688" t="str">
        <x:v>评估</x:v>
      </x:c>
      <x:c r="G13" s="432" t="str">
        <x:v>actual result、expected assertion</x:v>
      </x:c>
      <x:c r="H13" s="432" t="str">
        <x:v>AssertionResult</x:v>
      </x:c>
      <x:c r="I13" s="432" t="str">
        <x:v>Runner、Evidence</x:v>
      </x:c>
      <x:c r="J13" s="432" t="str">
        <x:v>断言结果需包含期望、实际、状态和证据引用。</x:v>
      </x:c>
      <x:c r="K13" s="688" t="str">
        <x:v>原图</x:v>
      </x:c>
      <x:c r="L13" s="688" t="str">
        <x:v>是</x:v>
      </x:c>
      <x:c r="M13" s="688" t="str">
        <x:v>P0</x:v>
      </x:c>
      <x:c r="N13" s="688" t="str">
        <x:v>是</x:v>
      </x:c>
      <x:c r="O13" s="432" t="str">
        <x:v>断言失败可精确定位步骤和原因。</x:v>
      </x:c>
      <x:c r="P13" s="688" t="str">
        <x:v>未开始</x:v>
      </x:c>
      <x:c r="Q13" s="688" t="str"/>
      <x:c r="R13" s="433" t="str"/>
    </x:row>
    <x:row r="14" ht="34" customHeight="1">
      <x:c r="A14" s="613" t="n">
        <x:v>5</x:v>
      </x:c>
      <x:c r="B14" s="599" t="str">
        <x:v>测试用例、执行、证据与反馈域</x:v>
      </x:c>
      <x:c r="C14" s="599" t="str">
        <x:v>证据</x:v>
      </x:c>
      <x:c r="D14" s="599" t="str">
        <x:v>证据存储</x:v>
      </x:c>
      <x:c r="E14" s="599" t="str">
        <x:v>保存截图、视频、Trace、日志、网络和性能指标。</x:v>
      </x:c>
      <x:c r="F14" s="615" t="str">
        <x:v>存储</x:v>
      </x:c>
      <x:c r="G14" s="599" t="str">
        <x:v>Runner evidence streams</x:v>
      </x:c>
      <x:c r="H14" s="599" t="str">
        <x:v>Evidence metadata/object refs</x:v>
      </x:c>
      <x:c r="I14" s="599" t="str">
        <x:v>对象存储、生命周期策略</x:v>
      </x:c>
      <x:c r="J14" s="599" t="str">
        <x:v>证据需脱敏、分级授权和保留周期。</x:v>
      </x:c>
      <x:c r="K14" s="615" t="str">
        <x:v>原图</x:v>
      </x:c>
      <x:c r="L14" s="615" t="str">
        <x:v>是</x:v>
      </x:c>
      <x:c r="M14" s="615" t="str">
        <x:v>P0</x:v>
      </x:c>
      <x:c r="N14" s="615" t="str">
        <x:v>是</x:v>
      </x:c>
      <x:c r="O14" s="599" t="str">
        <x:v>证据与execution/step/assertion完整关联。</x:v>
      </x:c>
      <x:c r="P14" s="615" t="str">
        <x:v>未开始</x:v>
      </x:c>
      <x:c r="Q14" s="615" t="str"/>
      <x:c r="R14" s="600" t="str"/>
    </x:row>
    <x:row r="15" ht="34" customHeight="1">
      <x:c r="A15" s="687" t="n">
        <x:v>5</x:v>
      </x:c>
      <x:c r="B15" s="432" t="str">
        <x:v>测试用例、执行、证据与反馈域</x:v>
      </x:c>
      <x:c r="C15" s="432" t="str">
        <x:v>报告</x:v>
      </x:c>
      <x:c r="D15" s="432" t="str">
        <x:v>报告服务</x:v>
      </x:c>
      <x:c r="E15" s="432" t="str">
        <x:v>聚合执行记录、断言、证据和资源快照。</x:v>
      </x:c>
      <x:c r="F15" s="688" t="str">
        <x:v>输出</x:v>
      </x:c>
      <x:c r="G15" s="432" t="str">
        <x:v>Execution、Assertion、Evidence</x:v>
      </x:c>
      <x:c r="H15" s="432" t="str">
        <x:v>Allure/JSON/Markdown/Dashboard</x:v>
      </x:c>
      <x:c r="I15" s="432" t="str">
        <x:v>对象存储、前端</x:v>
      </x:c>
      <x:c r="J15" s="432" t="str">
        <x:v>报告生成失败不得改变执行最终状态。</x:v>
      </x:c>
      <x:c r="K15" s="688" t="str">
        <x:v>原图</x:v>
      </x:c>
      <x:c r="L15" s="688" t="str">
        <x:v>是</x:v>
      </x:c>
      <x:c r="M15" s="688" t="str">
        <x:v>P0</x:v>
      </x:c>
      <x:c r="N15" s="688" t="str">
        <x:v>是</x:v>
      </x:c>
      <x:c r="O15" s="432" t="str">
        <x:v>报告可重建且具备来源和环境信息。</x:v>
      </x:c>
      <x:c r="P15" s="688" t="str">
        <x:v>未开始</x:v>
      </x:c>
      <x:c r="Q15" s="688" t="str"/>
      <x:c r="R15" s="433" t="str"/>
    </x:row>
    <x:row r="16" ht="34" customHeight="1">
      <x:c r="A16" s="613" t="n">
        <x:v>5</x:v>
      </x:c>
      <x:c r="B16" s="599" t="str">
        <x:v>测试用例、执行、证据与反馈域</x:v>
      </x:c>
      <x:c r="C16" s="599" t="str">
        <x:v>分析</x:v>
      </x:c>
      <x:c r="D16" s="599" t="str">
        <x:v>失败归因与失效分析</x:v>
      </x:c>
      <x:c r="E16" s="599" t="str">
        <x:v>区分产品缺陷、资产问题、资源问题、环境问题和用例失效。</x:v>
      </x:c>
      <x:c r="F16" s="615" t="str">
        <x:v>反馈</x:v>
      </x:c>
      <x:c r="G16" s="599" t="str">
        <x:v>执行结果、日志、资源快照</x:v>
      </x:c>
      <x:c r="H16" s="599" t="str">
        <x:v>FailureClassification</x:v>
      </x:c>
      <x:c r="I16" s="599" t="str">
        <x:v>报告、AI辅助</x:v>
      </x:c>
      <x:c r="J16" s="599" t="str">
        <x:v>自动归因允许人工纠正。</x:v>
      </x:c>
      <x:c r="K16" s="615" t="str">
        <x:v>原图</x:v>
      </x:c>
      <x:c r="L16" s="615" t="str">
        <x:v>否</x:v>
      </x:c>
      <x:c r="M16" s="615" t="str">
        <x:v>P1</x:v>
      </x:c>
      <x:c r="N16" s="615" t="str">
        <x:v>否</x:v>
      </x:c>
      <x:c r="O16" s="599" t="str">
        <x:v>失败可回链到资产、资源、用例和执行记录。</x:v>
      </x:c>
      <x:c r="P16" s="615" t="str">
        <x:v>未开始</x:v>
      </x:c>
      <x:c r="Q16" s="615" t="str"/>
      <x:c r="R16" s="600" t="str"/>
    </x:row>
    <x:row r="17" ht="34" customHeight="1">
      <x:c r="A17" s="687" t="n">
        <x:v>5</x:v>
      </x:c>
      <x:c r="B17" s="432" t="str">
        <x:v>测试用例、执行、证据与反馈域</x:v>
      </x:c>
      <x:c r="C17" s="432" t="str">
        <x:v>缺陷</x:v>
      </x:c>
      <x:c r="D17" s="432" t="str">
        <x:v>缺陷管理集成</x:v>
      </x:c>
      <x:c r="E17" s="432" t="str">
        <x:v>创建或关联缺陷，并携带完整追踪ID。</x:v>
      </x:c>
      <x:c r="F17" s="688" t="str">
        <x:v>补充服务</x:v>
      </x:c>
      <x:c r="G17" s="432" t="str">
        <x:v>FailureClassification</x:v>
      </x:c>
      <x:c r="H17" s="432" t="str">
        <x:v>defect_id/link</x:v>
      </x:c>
      <x:c r="I17" s="432" t="str">
        <x:v>外部缺陷系统、审计</x:v>
      </x:c>
      <x:c r="J17" s="432" t="str">
        <x:v>反馈不能泛化回到无上下文输入。</x:v>
      </x:c>
      <x:c r="K17" s="688" t="str">
        <x:v>补充</x:v>
      </x:c>
      <x:c r="L17" s="688" t="str">
        <x:v>否</x:v>
      </x:c>
      <x:c r="M17" s="688" t="str">
        <x:v>P1</x:v>
      </x:c>
      <x:c r="N17" s="688" t="str">
        <x:v>否</x:v>
      </x:c>
      <x:c r="O17" s="432" t="str">
        <x:v>缺陷包含requirement/asset/case/execution/resource IDs。</x:v>
      </x:c>
      <x:c r="P17" s="688" t="str">
        <x:v>未开始</x:v>
      </x:c>
      <x:c r="Q17" s="688" t="str"/>
      <x:c r="R17" s="433" t="str"/>
    </x:row>
    <x:row r="18" ht="34" customHeight="1">
      <x:c r="A18" s="613" t="n">
        <x:v>5</x:v>
      </x:c>
      <x:c r="B18" s="599" t="str">
        <x:v>测试用例、执行、证据与反馈域</x:v>
      </x:c>
      <x:c r="C18" s="599" t="str">
        <x:v>反馈</x:v>
      </x:c>
      <x:c r="D18" s="599" t="str">
        <x:v>闭环反馈路由</x:v>
      </x:c>
      <x:c r="E18" s="599" t="str">
        <x:v>将资产问题回到资产中心，将资源问题回到资源中心。</x:v>
      </x:c>
      <x:c r="F18" s="615" t="str">
        <x:v>补充路由</x:v>
      </x:c>
      <x:c r="G18" s="599" t="str">
        <x:v>failure category</x:v>
      </x:c>
      <x:c r="H18" s="599" t="str">
        <x:v>targeted feedback event</x:v>
      </x:c>
      <x:c r="I18" s="599" t="str">
        <x:v>事件总线、资产/资源域</x:v>
      </x:c>
      <x:c r="J18" s="599" t="str">
        <x:v>不得直接触发无上下文AI生成。</x:v>
      </x:c>
      <x:c r="K18" s="615" t="str">
        <x:v>补充</x:v>
      </x:c>
      <x:c r="L18" s="615" t="str">
        <x:v>否</x:v>
      </x:c>
      <x:c r="M18" s="615" t="str">
        <x:v>P1</x:v>
      </x:c>
      <x:c r="N18" s="615" t="str">
        <x:v>否</x:v>
      </x:c>
      <x:c r="O18" s="599" t="str">
        <x:v>不同问题进入对应修复责任域。</x:v>
      </x:c>
      <x:c r="P18" s="615" t="str">
        <x:v>未开始</x:v>
      </x:c>
      <x:c r="Q18" s="615" t="str"/>
      <x:c r="R18" s="600" t="str"/>
    </x:row>
  </x:sheetData>
  <x:mergeCells>
    <x:mergeCell ref="A1:R1"/>
  </x:mergeCells>
  <x:conditionalFormatting sqref="K4:K18">
    <x:cfRule type="expression" dxfId="96" priority="1">
      <x:formula>K4="补充"</x:formula>
    </x:cfRule>
    <x:cfRule type="expression" dxfId="97" priority="2">
      <x:formula>K4="原图"</x:formula>
    </x:cfRule>
  </x:conditionalFormatting>
  <x:conditionalFormatting sqref="L4:L18">
    <x:cfRule type="expression" dxfId="98" priority="3">
      <x:formula>L4="是"</x:formula>
    </x:cfRule>
    <x:cfRule type="expression" dxfId="99" priority="4">
      <x:formula>L4="否"</x:formula>
    </x:cfRule>
  </x:conditionalFormatting>
  <x:conditionalFormatting sqref="M4:M18">
    <x:cfRule type="expression" dxfId="100" priority="5">
      <x:formula>M4="P0"</x:formula>
    </x:cfRule>
    <x:cfRule type="expression" dxfId="101" priority="6">
      <x:formula>M4="P1"</x:formula>
    </x:cfRule>
    <x:cfRule type="expression" dxfId="102" priority="7">
      <x:formula>M4="P2"</x:formula>
    </x:cfRule>
  </x:conditionalFormatting>
  <x:conditionalFormatting sqref="N4:N18">
    <x:cfRule type="expression" dxfId="103" priority="8">
      <x:formula>N4="是"</x:formula>
    </x:cfRule>
    <x:cfRule type="expression" dxfId="104" priority="9">
      <x:formula>N4="否"</x:formula>
    </x:cfRule>
  </x:conditionalFormatting>
  <x:conditionalFormatting sqref="P4:P18">
    <x:cfRule type="expression" dxfId="105" priority="10">
      <x:formula>P4="未开始"</x:formula>
    </x:cfRule>
    <x:cfRule type="expression" dxfId="106" priority="11">
      <x:formula>P4="进行中"</x:formula>
    </x:cfRule>
    <x:cfRule type="expression" dxfId="107" priority="12">
      <x:formula>P4="阻塞"</x:formula>
    </x:cfRule>
    <x:cfRule type="expression" dxfId="108" priority="13">
      <x:formula>P4="已完成"</x:formula>
    </x:cfRule>
    <x:cfRule type="expression" dxfId="109" priority="14">
      <x:formula>P4="已取消"</x:formula>
    </x:cfRule>
  </x:conditionalFormatting>
  <x:dataValidations count="1">
    <x:dataValidation type="list" sqref="P4:P18">
      <x:formula1>"未开始,进行中,阻塞,已完成,已取消"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696" t="str">
        <x:v>6. 平台控制面</x:v>
      </x:c>
      <x:c r="B1" s="697"/>
      <x:c r="C1" s="697"/>
      <x:c r="D1" s="697"/>
      <x:c r="E1" s="697"/>
      <x:c r="F1" s="697"/>
      <x:c r="G1" s="697"/>
      <x:c r="H1" s="697"/>
      <x:c r="I1" s="697"/>
      <x:c r="J1" s="697"/>
      <x:c r="K1" s="697"/>
      <x:c r="L1" s="697"/>
      <x:c r="M1" s="697"/>
      <x:c r="N1" s="697"/>
      <x:c r="O1" s="697"/>
      <x:c r="P1" s="697"/>
      <x:c r="Q1" s="697"/>
      <x:c r="R1" s="698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6</x:v>
      </x:c>
      <x:c r="B4" s="599" t="str">
        <x:v>平台控制面</x:v>
      </x:c>
      <x:c r="C4" s="599" t="str">
        <x:v>组织项目</x:v>
      </x:c>
      <x:c r="D4" s="599" t="str">
        <x:v>组织 / 租户 / 项目模型</x:v>
      </x:c>
      <x:c r="E4" s="599" t="str">
        <x:v>建立最小组织与项目作用域。</x:v>
      </x:c>
      <x:c r="F4" s="615" t="str">
        <x:v>补充治理</x:v>
      </x:c>
      <x:c r="G4" s="599" t="str">
        <x:v>用户/配置</x:v>
      </x:c>
      <x:c r="H4" s="599" t="str">
        <x:v>tenant_id、project_id</x:v>
      </x:c>
      <x:c r="I4" s="599" t="str">
        <x:v>认证、数据库</x:v>
      </x:c>
      <x:c r="J4" s="599" t="str">
        <x:v>即使单租户也必须以 project_id 隔离数据。</x:v>
      </x:c>
      <x:c r="K4" s="615" t="str">
        <x:v>补充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所有核心实体具备 project_id。</x:v>
      </x:c>
      <x:c r="P4" s="615" t="str">
        <x:v>未开始</x:v>
      </x:c>
      <x:c r="Q4" s="615" t="str"/>
      <x:c r="R4" s="600" t="str"/>
    </x:row>
    <x:row r="5" ht="34" customHeight="1">
      <x:c r="A5" s="702" t="n">
        <x:v>6</x:v>
      </x:c>
      <x:c r="B5" s="438" t="str">
        <x:v>平台控制面</x:v>
      </x:c>
      <x:c r="C5" s="438" t="str">
        <x:v>数据隔离</x:v>
      </x:c>
      <x:c r="D5" s="438" t="str">
        <x:v>项目作用域与数据隔离</x:v>
      </x:c>
      <x:c r="E5" s="438" t="str">
        <x:v>对资源、资产、用例和执行实现项目级隔离。</x:v>
      </x:c>
      <x:c r="F5" s="703" t="str">
        <x:v>治理</x:v>
      </x:c>
      <x:c r="G5" s="438" t="str">
        <x:v>project context</x:v>
      </x:c>
      <x:c r="H5" s="438" t="str">
        <x:v>scoped query/write</x:v>
      </x:c>
      <x:c r="I5" s="438" t="str">
        <x:v>Project、Repository</x:v>
      </x:c>
      <x:c r="J5" s="438" t="str">
        <x:v>禁止默认项目和跨项目隐式访问。</x:v>
      </x:c>
      <x:c r="K5" s="703" t="str">
        <x:v>原图</x:v>
      </x:c>
      <x:c r="L5" s="703" t="str">
        <x:v>是</x:v>
      </x:c>
      <x:c r="M5" s="703" t="str">
        <x:v>P0</x:v>
      </x:c>
      <x:c r="N5" s="703" t="str">
        <x:v>是</x:v>
      </x:c>
      <x:c r="O5" s="438" t="str">
        <x:v>跨项目读写被系统拒绝并有自动化测试。</x:v>
      </x:c>
      <x:c r="P5" s="703" t="str">
        <x:v>未开始</x:v>
      </x:c>
      <x:c r="Q5" s="703" t="str"/>
      <x:c r="R5" s="439" t="str"/>
    </x:row>
    <x:row r="6" ht="34" customHeight="1">
      <x:c r="A6" s="613" t="n">
        <x:v>6</x:v>
      </x:c>
      <x:c r="B6" s="599" t="str">
        <x:v>平台控制面</x:v>
      </x:c>
      <x:c r="C6" s="599" t="str">
        <x:v>标识</x:v>
      </x:c>
      <x:c r="D6" s="599" t="str">
        <x:v>统一 ID / Trace / Batch 管理</x:v>
      </x:c>
      <x:c r="E6" s="599" t="str">
        <x:v>统一实体ID、请求追踪、生成批次、转换和执行ID。</x:v>
      </x:c>
      <x:c r="F6" s="615" t="str">
        <x:v>基础能力</x:v>
      </x:c>
      <x:c r="G6" s="599" t="str">
        <x:v>entity type、request context</x:v>
      </x:c>
      <x:c r="H6" s="599" t="str">
        <x:v>stable IDs、trace context</x:v>
      </x:c>
      <x:c r="I6" s="599" t="str">
        <x:v>日志、消息队列</x:v>
      </x:c>
      <x:c r="J6" s="599" t="str">
        <x:v>AI不得生成权威ID；异步消息必须传递上下文。</x:v>
      </x:c>
      <x:c r="K6" s="615" t="str">
        <x:v>原图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可用一组ID串联输入到报告。</x:v>
      </x:c>
      <x:c r="P6" s="615" t="str">
        <x:v>未开始</x:v>
      </x:c>
      <x:c r="Q6" s="615" t="str"/>
      <x:c r="R6" s="600" t="str"/>
    </x:row>
    <x:row r="7" ht="34" customHeight="1">
      <x:c r="A7" s="702" t="n">
        <x:v>6</x:v>
      </x:c>
      <x:c r="B7" s="438" t="str">
        <x:v>平台控制面</x:v>
      </x:c>
      <x:c r="C7" s="438" t="str">
        <x:v>版本</x:v>
      </x:c>
      <x:c r="D7" s="438" t="str">
        <x:v>版本管理</x:v>
      </x:c>
      <x:c r="E7" s="438" t="str">
        <x:v>统一资产、资源、策略、用例等版本规则。</x:v>
      </x:c>
      <x:c r="F7" s="703" t="str">
        <x:v>基础能力</x:v>
      </x:c>
      <x:c r="G7" s="438" t="str">
        <x:v>entity change</x:v>
      </x:c>
      <x:c r="H7" s="438" t="str">
        <x:v>version/revision</x:v>
      </x:c>
      <x:c r="I7" s="438" t="str">
        <x:v>审计、事件总线</x:v>
      </x:c>
      <x:c r="J7" s="438" t="str">
        <x:v>版本不可覆盖，资源变更可触发失效。</x:v>
      </x:c>
      <x:c r="K7" s="703" t="str">
        <x:v>原图</x:v>
      </x:c>
      <x:c r="L7" s="703" t="str">
        <x:v>是</x:v>
      </x:c>
      <x:c r="M7" s="703" t="str">
        <x:v>P0</x:v>
      </x:c>
      <x:c r="N7" s="703" t="str">
        <x:v>是</x:v>
      </x:c>
      <x:c r="O7" s="438" t="str">
        <x:v>所有事实源都能定位到具体版本。</x:v>
      </x:c>
      <x:c r="P7" s="703" t="str">
        <x:v>未开始</x:v>
      </x:c>
      <x:c r="Q7" s="703" t="str"/>
      <x:c r="R7" s="439" t="str"/>
    </x:row>
    <x:row r="8" ht="34" customHeight="1">
      <x:c r="A8" s="613" t="n">
        <x:v>6</x:v>
      </x:c>
      <x:c r="B8" s="599" t="str">
        <x:v>平台控制面</x:v>
      </x:c>
      <x:c r="C8" s="599" t="str">
        <x:v>审计</x:v>
      </x:c>
      <x:c r="D8" s="599" t="str">
        <x:v>审计日志与变更记录</x:v>
      </x:c>
      <x:c r="E8" s="599" t="str">
        <x:v>记录编辑、审核、转换、资源变更和执行控制操作。</x:v>
      </x:c>
      <x:c r="F8" s="615" t="str">
        <x:v>基础能力</x:v>
      </x:c>
      <x:c r="G8" s="599" t="str">
        <x:v>domain events</x:v>
      </x:c>
      <x:c r="H8" s="599" t="str">
        <x:v>AuditEvent</x:v>
      </x:c>
      <x:c r="I8" s="599" t="str">
        <x:v>统一ID、存储</x:v>
      </x:c>
      <x:c r="J8" s="599" t="str">
        <x:v>敏感字段必须脱敏。</x:v>
      </x:c>
      <x:c r="K8" s="615" t="str">
        <x:v>原图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关键操作可查询操作人、时间和前后值。</x:v>
      </x:c>
      <x:c r="P8" s="615" t="str">
        <x:v>未开始</x:v>
      </x:c>
      <x:c r="Q8" s="615" t="str"/>
      <x:c r="R8" s="600" t="str"/>
    </x:row>
    <x:row r="9" ht="34" customHeight="1">
      <x:c r="A9" s="702" t="n">
        <x:v>6</x:v>
      </x:c>
      <x:c r="B9" s="438" t="str">
        <x:v>平台控制面</x:v>
      </x:c>
      <x:c r="C9" s="438" t="str">
        <x:v>异步</x:v>
      </x:c>
      <x:c r="D9" s="438" t="str">
        <x:v>异步任务与事件总线</x:v>
      </x:c>
      <x:c r="E9" s="438" t="str">
        <x:v>支撑生成、评估、去重、转换、调度和失效事件。</x:v>
      </x:c>
      <x:c r="F9" s="703" t="str">
        <x:v>基础能力</x:v>
      </x:c>
      <x:c r="G9" s="438" t="str">
        <x:v>job/event</x:v>
      </x:c>
      <x:c r="H9" s="438" t="str">
        <x:v>Job状态、DomainEvent</x:v>
      </x:c>
      <x:c r="I9" s="438" t="str">
        <x:v>MQ、Worker</x:v>
      </x:c>
      <x:c r="J9" s="438" t="str">
        <x:v>任务状态与业务状态分离；消息消费幂等。</x:v>
      </x:c>
      <x:c r="K9" s="703" t="str">
        <x:v>原图</x:v>
      </x:c>
      <x:c r="L9" s="703" t="str">
        <x:v>是</x:v>
      </x:c>
      <x:c r="M9" s="703" t="str">
        <x:v>P0</x:v>
      </x:c>
      <x:c r="N9" s="703" t="str">
        <x:v>是</x:v>
      </x:c>
      <x:c r="O9" s="438" t="str">
        <x:v>所有长任务可追踪、重试和进入死信队列。</x:v>
      </x:c>
      <x:c r="P9" s="703" t="str">
        <x:v>未开始</x:v>
      </x:c>
      <x:c r="Q9" s="703" t="str"/>
      <x:c r="R9" s="439" t="str"/>
    </x:row>
    <x:row r="10" ht="34" customHeight="1">
      <x:c r="A10" s="613" t="n">
        <x:v>6</x:v>
      </x:c>
      <x:c r="B10" s="599" t="str">
        <x:v>平台控制面</x:v>
      </x:c>
      <x:c r="C10" s="599" t="str">
        <x:v>认证授权</x:v>
      </x:c>
      <x:c r="D10" s="599" t="str">
        <x:v>认证授权 / RBAC</x:v>
      </x:c>
      <x:c r="E10" s="599" t="str">
        <x:v>管理用户、角色和敏感操作权限。</x:v>
      </x:c>
      <x:c r="F10" s="615" t="str">
        <x:v>安全</x:v>
      </x:c>
      <x:c r="G10" s="599" t="str">
        <x:v>identity、role</x:v>
      </x:c>
      <x:c r="H10" s="599" t="str">
        <x:v>access decision</x:v>
      </x:c>
      <x:c r="I10" s="599" t="str">
        <x:v>SSO/OAuth2、API Gateway</x:v>
      </x:c>
      <x:c r="J10" s="599" t="str">
        <x:v>V1可先单管理员，正式执行前必须认证。</x:v>
      </x:c>
      <x:c r="K10" s="615" t="str">
        <x:v>原图</x:v>
      </x:c>
      <x:c r="L10" s="615" t="str">
        <x:v>否</x:v>
      </x:c>
      <x:c r="M10" s="615" t="str">
        <x:v>P1</x:v>
      </x:c>
      <x:c r="N10" s="615" t="str">
        <x:v>否</x:v>
      </x:c>
      <x:c r="O10" s="599" t="str">
        <x:v>资产审核、资源管理和执行权限可分离。</x:v>
      </x:c>
      <x:c r="P10" s="615" t="str">
        <x:v>未开始</x:v>
      </x:c>
      <x:c r="Q10" s="615" t="str"/>
      <x:c r="R10" s="600" t="str"/>
    </x:row>
    <x:row r="11" ht="34" customHeight="1">
      <x:c r="A11" s="702" t="n">
        <x:v>6</x:v>
      </x:c>
      <x:c r="B11" s="438" t="str">
        <x:v>平台控制面</x:v>
      </x:c>
      <x:c r="C11" s="438" t="str">
        <x:v>灰度</x:v>
      </x:c>
      <x:c r="D11" s="438" t="str">
        <x:v>Feature Flag / 灰度切换</x:v>
      </x:c>
      <x:c r="E11" s="438" t="str">
        <x:v>支持V2链路灰度、回退和策略开关。</x:v>
      </x:c>
      <x:c r="F11" s="703" t="str">
        <x:v>治理</x:v>
      </x:c>
      <x:c r="G11" s="438" t="str">
        <x:v>project/user context</x:v>
      </x:c>
      <x:c r="H11" s="438" t="str">
        <x:v>flag decision</x:v>
      </x:c>
      <x:c r="I11" s="438" t="str">
        <x:v>配置中心、审计</x:v>
      </x:c>
      <x:c r="J11" s="438" t="str">
        <x:v>迁移期旧链必须可控冻结和回退。</x:v>
      </x:c>
      <x:c r="K11" s="703" t="str">
        <x:v>原图</x:v>
      </x:c>
      <x:c r="L11" s="703" t="str">
        <x:v>是</x:v>
      </x:c>
      <x:c r="M11" s="703" t="str">
        <x:v>P0</x:v>
      </x:c>
      <x:c r="N11" s="703" t="str">
        <x:v>是</x:v>
      </x:c>
      <x:c r="O11" s="438" t="str">
        <x:v>可按项目切换V2而无需重新部署。</x:v>
      </x:c>
      <x:c r="P11" s="703" t="str">
        <x:v>未开始</x:v>
      </x:c>
      <x:c r="Q11" s="703" t="str"/>
      <x:c r="R11" s="439" t="str"/>
    </x:row>
    <x:row r="12" ht="34" customHeight="1">
      <x:c r="A12" s="613" t="n">
        <x:v>6</x:v>
      </x:c>
      <x:c r="B12" s="599" t="str">
        <x:v>平台控制面</x:v>
      </x:c>
      <x:c r="C12" s="599" t="str">
        <x:v>API治理</x:v>
      </x:c>
      <x:c r="D12" s="599" t="str">
        <x:v>API Gateway / BFF</x:v>
      </x:c>
      <x:c r="E12" s="599" t="str">
        <x:v>提供路由、认证、限流、错误码和前端聚合。</x:v>
      </x:c>
      <x:c r="F12" s="615" t="str">
        <x:v>入口</x:v>
      </x:c>
      <x:c r="G12" s="599" t="str">
        <x:v>client request</x:v>
      </x:c>
      <x:c r="H12" s="599" t="str">
        <x:v>internal service request/response</x:v>
      </x:c>
      <x:c r="I12" s="599" t="str">
        <x:v>认证、监控</x:v>
      </x:c>
      <x:c r="J12" s="599" t="str">
        <x:v>BFF不得承载核心业务逻辑。</x:v>
      </x:c>
      <x:c r="K12" s="615" t="str">
        <x:v>原图</x:v>
      </x:c>
      <x:c r="L12" s="615" t="str">
        <x:v>是</x:v>
      </x:c>
      <x:c r="M12" s="615" t="str">
        <x:v>P1</x:v>
      </x:c>
      <x:c r="N12" s="615" t="str">
        <x:v>否</x:v>
      </x:c>
      <x:c r="O12" s="599" t="str">
        <x:v>前端不直接耦合内部服务结构。</x:v>
      </x:c>
      <x:c r="P12" s="615" t="str">
        <x:v>未开始</x:v>
      </x:c>
      <x:c r="Q12" s="615" t="str"/>
      <x:c r="R12" s="600" t="str"/>
    </x:row>
    <x:row r="13" ht="34" customHeight="1">
      <x:c r="A13" s="702" t="n">
        <x:v>6</x:v>
      </x:c>
      <x:c r="B13" s="438" t="str">
        <x:v>平台控制面</x:v>
      </x:c>
      <x:c r="C13" s="438" t="str">
        <x:v>通知</x:v>
      </x:c>
      <x:c r="D13" s="438" t="str">
        <x:v>通知中心</x:v>
      </x:c>
      <x:c r="E13" s="438" t="str">
        <x:v>通知生成、转换、批量操作和清理失败结果。</x:v>
      </x:c>
      <x:c r="F13" s="703" t="str">
        <x:v>补充服务</x:v>
      </x:c>
      <x:c r="G13" s="438" t="str">
        <x:v>domain events</x:v>
      </x:c>
      <x:c r="H13" s="438" t="str">
        <x:v>站内/邮件通知</x:v>
      </x:c>
      <x:c r="I13" s="438" t="str">
        <x:v>事件总线、用户</x:v>
      </x:c>
      <x:c r="J13" s="438" t="str">
        <x:v>通知失败不影响业务事务。</x:v>
      </x:c>
      <x:c r="K13" s="703" t="str">
        <x:v>补充</x:v>
      </x:c>
      <x:c r="L13" s="703" t="str">
        <x:v>否</x:v>
      </x:c>
      <x:c r="M13" s="703" t="str">
        <x:v>P2</x:v>
      </x:c>
      <x:c r="N13" s="703" t="str">
        <x:v>否</x:v>
      </x:c>
      <x:c r="O13" s="438" t="str">
        <x:v>关键异步结果可被用户感知。</x:v>
      </x:c>
      <x:c r="P13" s="703" t="str">
        <x:v>未开始</x:v>
      </x:c>
      <x:c r="Q13" s="703" t="str"/>
      <x:c r="R13" s="439" t="str"/>
    </x:row>
    <x:row r="14" ht="34" customHeight="1">
      <x:c r="A14" s="613" t="n">
        <x:v>6</x:v>
      </x:c>
      <x:c r="B14" s="599" t="str">
        <x:v>平台控制面</x:v>
      </x:c>
      <x:c r="C14" s="599" t="str">
        <x:v>限额</x:v>
      </x:c>
      <x:c r="D14" s="599" t="str">
        <x:v>配额与限流</x:v>
      </x:c>
      <x:c r="E14" s="599" t="str">
        <x:v>管理AI调用、批量入库、转换和执行资源配额。</x:v>
      </x:c>
      <x:c r="F14" s="615" t="str">
        <x:v>补充治理</x:v>
      </x:c>
      <x:c r="G14" s="599" t="str">
        <x:v>project plan、usage</x:v>
      </x:c>
      <x:c r="H14" s="599" t="str">
        <x:v>quota decision</x:v>
      </x:c>
      <x:c r="I14" s="599" t="str">
        <x:v>API Gateway、调度</x:v>
      </x:c>
      <x:c r="J14" s="599" t="str">
        <x:v>配额策略需可解释并项目隔离。</x:v>
      </x:c>
      <x:c r="K14" s="615" t="str">
        <x:v>补充</x:v>
      </x:c>
      <x:c r="L14" s="615" t="str">
        <x:v>否</x:v>
      </x:c>
      <x:c r="M14" s="615" t="str">
        <x:v>P2</x:v>
      </x:c>
      <x:c r="N14" s="615" t="str">
        <x:v>否</x:v>
      </x:c>
      <x:c r="O14" s="599" t="str">
        <x:v>避免单项目耗尽平台资源。</x:v>
      </x:c>
      <x:c r="P14" s="615" t="str">
        <x:v>未开始</x:v>
      </x:c>
      <x:c r="Q14" s="615" t="str"/>
      <x:c r="R14" s="600" t="str"/>
    </x:row>
    <x:row r="15" ht="34" customHeight="1">
      <x:c r="A15" s="702" t="n">
        <x:v>6</x:v>
      </x:c>
      <x:c r="B15" s="438" t="str">
        <x:v>平台控制面</x:v>
      </x:c>
      <x:c r="C15" s="438" t="str">
        <x:v>业务指标</x:v>
      </x:c>
      <x:c r="D15" s="438" t="str">
        <x:v>平台业务指标目录</x:v>
      </x:c>
      <x:c r="E15" s="438" t="str">
        <x:v>统一定义入库量、去重率、转换成功率和执行通过率。</x:v>
      </x:c>
      <x:c r="F15" s="703" t="str">
        <x:v>补充运维</x:v>
      </x:c>
      <x:c r="G15" s="438" t="str">
        <x:v>domain metrics</x:v>
      </x:c>
      <x:c r="H15" s="438" t="str">
        <x:v>Dashboard</x:v>
      </x:c>
      <x:c r="I15" s="438" t="str">
        <x:v>监控平台</x:v>
      </x:c>
      <x:c r="J15" s="438" t="str">
        <x:v>指标口径需稳定并可追溯。</x:v>
      </x:c>
      <x:c r="K15" s="703" t="str">
        <x:v>补充</x:v>
      </x:c>
      <x:c r="L15" s="703" t="str">
        <x:v>是</x:v>
      </x:c>
      <x:c r="M15" s="703" t="str">
        <x:v>P1</x:v>
      </x:c>
      <x:c r="N15" s="703" t="str">
        <x:v>否</x:v>
      </x:c>
      <x:c r="O15" s="438" t="str">
        <x:v>管理者可查看各阶段漏斗。</x:v>
      </x:c>
      <x:c r="P15" s="703" t="str">
        <x:v>未开始</x:v>
      </x:c>
      <x:c r="Q15" s="703" t="str"/>
      <x:c r="R15" s="439" t="str"/>
    </x:row>
  </x:sheetData>
  <x:mergeCells>
    <x:mergeCell ref="A1:R1"/>
  </x:mergeCells>
  <x:conditionalFormatting sqref="K4:K15">
    <x:cfRule type="expression" dxfId="110" priority="1">
      <x:formula>K4="补充"</x:formula>
    </x:cfRule>
    <x:cfRule type="expression" dxfId="111" priority="2">
      <x:formula>K4="原图"</x:formula>
    </x:cfRule>
  </x:conditionalFormatting>
  <x:conditionalFormatting sqref="L4:L15">
    <x:cfRule type="expression" dxfId="112" priority="3">
      <x:formula>L4="是"</x:formula>
    </x:cfRule>
    <x:cfRule type="expression" dxfId="113" priority="4">
      <x:formula>L4="否"</x:formula>
    </x:cfRule>
  </x:conditionalFormatting>
  <x:conditionalFormatting sqref="M4:M15">
    <x:cfRule type="expression" dxfId="114" priority="5">
      <x:formula>M4="P0"</x:formula>
    </x:cfRule>
    <x:cfRule type="expression" dxfId="115" priority="6">
      <x:formula>M4="P1"</x:formula>
    </x:cfRule>
    <x:cfRule type="expression" dxfId="116" priority="7">
      <x:formula>M4="P2"</x:formula>
    </x:cfRule>
  </x:conditionalFormatting>
  <x:conditionalFormatting sqref="N4:N15">
    <x:cfRule type="expression" dxfId="117" priority="8">
      <x:formula>N4="是"</x:formula>
    </x:cfRule>
    <x:cfRule type="expression" dxfId="118" priority="9">
      <x:formula>N4="否"</x:formula>
    </x:cfRule>
  </x:conditionalFormatting>
  <x:conditionalFormatting sqref="P4:P15">
    <x:cfRule type="expression" dxfId="119" priority="10">
      <x:formula>P4="未开始"</x:formula>
    </x:cfRule>
    <x:cfRule type="expression" dxfId="120" priority="11">
      <x:formula>P4="进行中"</x:formula>
    </x:cfRule>
    <x:cfRule type="expression" dxfId="121" priority="12">
      <x:formula>P4="阻塞"</x:formula>
    </x:cfRule>
    <x:cfRule type="expression" dxfId="122" priority="13">
      <x:formula>P4="已完成"</x:formula>
    </x:cfRule>
    <x:cfRule type="expression" dxfId="123" priority="14">
      <x:formula>P4="已取消"</x:formula>
    </x:cfRule>
  </x:conditionalFormatting>
  <x:dataValidations count="1">
    <x:dataValidation type="list" sqref="P4:P15">
      <x:formula1>"未开始,进行中,阻塞,已完成,已取消"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7" hidden="0" customWidth="1"/>
    <x:col min="4" max="4" width="26" hidden="0" customWidth="1"/>
    <x:col min="5" max="5" width="38" hidden="0" customWidth="1"/>
    <x:col min="6" max="6" width="12" hidden="0" customWidth="1"/>
    <x:col min="7" max="7" width="28" hidden="0" customWidth="1"/>
    <x:col min="8" max="8" width="28" hidden="0" customWidth="1"/>
    <x:col min="9" max="9" width="26" hidden="0" customWidth="1"/>
    <x:col min="10" max="10" width="3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36" hidden="0" customWidth="1"/>
    <x:col min="16" max="16" width="11" hidden="0" customWidth="1"/>
    <x:col min="17" max="17" width="11" hidden="0" customWidth="1"/>
    <x:col min="18" max="18" width="24" hidden="0" customWidth="1"/>
  </x:cols>
  <x:sheetData>
    <x:row r="1" ht="34" customHeight="1">
      <x:c r="A1" s="711" t="str">
        <x:v>7. 技术基础设施域</x:v>
      </x:c>
      <x:c r="B1" s="712"/>
      <x:c r="C1" s="712"/>
      <x:c r="D1" s="712"/>
      <x:c r="E1" s="712"/>
      <x:c r="F1" s="712"/>
      <x:c r="G1" s="712"/>
      <x:c r="H1" s="712"/>
      <x:c r="I1" s="712"/>
      <x:c r="J1" s="712"/>
      <x:c r="K1" s="712"/>
      <x:c r="L1" s="712"/>
      <x:c r="M1" s="712"/>
      <x:c r="N1" s="712"/>
      <x:c r="O1" s="712"/>
      <x:c r="P1" s="712"/>
      <x:c r="Q1" s="712"/>
      <x:c r="R1" s="713"/>
    </x:row>
    <x:row r="2">
      <x:c r="A2" s="540"/>
      <x:c r="B2" s="540"/>
      <x:c r="C2" s="540"/>
      <x:c r="D2" s="540"/>
      <x:c r="E2" s="540"/>
      <x:c r="F2" s="540"/>
      <x:c r="G2" s="540"/>
      <x:c r="H2" s="540"/>
      <x:c r="I2" s="540"/>
      <x:c r="J2" s="540"/>
      <x:c r="K2" s="540"/>
      <x:c r="L2" s="540"/>
      <x:c r="M2" s="540"/>
      <x:c r="N2" s="540"/>
      <x:c r="O2" s="540"/>
      <x:c r="P2" s="540"/>
      <x:c r="Q2" s="540"/>
      <x:c r="R2" s="540"/>
    </x:row>
    <x:row r="3" ht="36" customHeight="1">
      <x:c r="A3" s="558" t="str">
        <x:v>层级</x:v>
      </x:c>
      <x:c r="B3" s="559" t="str">
        <x:v>域名称</x:v>
      </x:c>
      <x:c r="C3" s="560" t="str">
        <x:v>子域</x:v>
      </x:c>
      <x:c r="D3" s="566" t="str">
        <x:v>节点名称</x:v>
      </x:c>
      <x:c r="E3" s="567" t="str">
        <x:v>功能描述</x:v>
      </x:c>
      <x:c r="F3" s="568" t="str">
        <x:v>类型</x:v>
      </x:c>
      <x:c r="G3" s="574" t="str">
        <x:v>关键输入</x:v>
      </x:c>
      <x:c r="H3" s="575" t="str">
        <x:v>关键输出</x:v>
      </x:c>
      <x:c r="I3" s="575" t="str">
        <x:v>主要依赖</x:v>
      </x:c>
      <x:c r="J3" s="576" t="str">
        <x:v>关键约束</x:v>
      </x:c>
      <x:c r="K3" s="582" t="str">
        <x:v>来源</x:v>
      </x:c>
      <x:c r="L3" s="583" t="str">
        <x:v>V1范围</x:v>
      </x:c>
      <x:c r="M3" s="583" t="str">
        <x:v>优先级</x:v>
      </x:c>
      <x:c r="N3" s="584" t="str">
        <x:v>阻塞V1</x:v>
      </x:c>
      <x:c r="O3" s="591" t="str">
        <x:v>验收标准</x:v>
      </x:c>
      <x:c r="P3" s="592" t="str">
        <x:v>状态</x:v>
      </x:c>
      <x:c r="Q3" s="592" t="str">
        <x:v>负责人</x:v>
      </x:c>
      <x:c r="R3" s="593" t="str">
        <x:v>备注</x:v>
      </x:c>
    </x:row>
    <x:row r="4" ht="34" customHeight="1">
      <x:c r="A4" s="613" t="n">
        <x:v>7</x:v>
      </x:c>
      <x:c r="B4" s="599" t="str">
        <x:v>技术基础设施域</x:v>
      </x:c>
      <x:c r="C4" s="599" t="str">
        <x:v>容器</x:v>
      </x:c>
      <x:c r="D4" s="599" t="str">
        <x:v>容器平台</x:v>
      </x:c>
      <x:c r="E4" s="599" t="str">
        <x:v>提供 Docker/Kubernetes 运行、隔离和伸缩。</x:v>
      </x:c>
      <x:c r="F4" s="615" t="str">
        <x:v>基础设施</x:v>
      </x:c>
      <x:c r="G4" s="599" t="str">
        <x:v>service images</x:v>
      </x:c>
      <x:c r="H4" s="599" t="str">
        <x:v>runtime workloads</x:v>
      </x:c>
      <x:c r="I4" s="599" t="str">
        <x:v>CI/CD、监控</x:v>
      </x:c>
      <x:c r="J4" s="599" t="str">
        <x:v>镜像不得内置配置和密钥。</x:v>
      </x:c>
      <x:c r="K4" s="615" t="str">
        <x:v>原图</x:v>
      </x:c>
      <x:c r="L4" s="615" t="str">
        <x:v>是</x:v>
      </x:c>
      <x:c r="M4" s="615" t="str">
        <x:v>P0</x:v>
      </x:c>
      <x:c r="N4" s="615" t="str">
        <x:v>是</x:v>
      </x:c>
      <x:c r="O4" s="599" t="str">
        <x:v>服务具备健康检查、资源限制和滚动发布。</x:v>
      </x:c>
      <x:c r="P4" s="615" t="str">
        <x:v>未开始</x:v>
      </x:c>
      <x:c r="Q4" s="615" t="str"/>
      <x:c r="R4" s="600" t="str"/>
    </x:row>
    <x:row r="5" ht="34" customHeight="1">
      <x:c r="A5" s="716" t="n">
        <x:v>7</x:v>
      </x:c>
      <x:c r="B5" s="444" t="str">
        <x:v>技术基础设施域</x:v>
      </x:c>
      <x:c r="C5" s="444" t="str">
        <x:v>存储</x:v>
      </x:c>
      <x:c r="D5" s="444" t="str">
        <x:v>存储层</x:v>
      </x:c>
      <x:c r="E5" s="444" t="str">
        <x:v>提供 MySQL、Redis、对象存储等能力。</x:v>
      </x:c>
      <x:c r="F5" s="717" t="str">
        <x:v>基础设施</x:v>
      </x:c>
      <x:c r="G5" s="444" t="str">
        <x:v>业务数据、缓存、文件</x:v>
      </x:c>
      <x:c r="H5" s="444" t="str">
        <x:v>persistent storage</x:v>
      </x:c>
      <x:c r="I5" s="444" t="str">
        <x:v>备份、监控</x:v>
      </x:c>
      <x:c r="J5" s="444" t="str">
        <x:v>不同数据类型使用适合的存储，禁止大文件入DB。</x:v>
      </x:c>
      <x:c r="K5" s="717" t="str">
        <x:v>原图</x:v>
      </x:c>
      <x:c r="L5" s="717" t="str">
        <x:v>是</x:v>
      </x:c>
      <x:c r="M5" s="717" t="str">
        <x:v>P0</x:v>
      </x:c>
      <x:c r="N5" s="717" t="str">
        <x:v>是</x:v>
      </x:c>
      <x:c r="O5" s="444" t="str">
        <x:v>核心数据可持久化、索引和恢复。</x:v>
      </x:c>
      <x:c r="P5" s="717" t="str">
        <x:v>未开始</x:v>
      </x:c>
      <x:c r="Q5" s="717" t="str"/>
      <x:c r="R5" s="445" t="str"/>
    </x:row>
    <x:row r="6" ht="34" customHeight="1">
      <x:c r="A6" s="613" t="n">
        <x:v>7</x:v>
      </x:c>
      <x:c r="B6" s="599" t="str">
        <x:v>技术基础设施域</x:v>
      </x:c>
      <x:c r="C6" s="599" t="str">
        <x:v>数据库</x:v>
      </x:c>
      <x:c r="D6" s="599" t="str">
        <x:v>数据库迁移与Schema治理</x:v>
      </x:c>
      <x:c r="E6" s="599" t="str">
        <x:v>建立版本化迁移、索引和回滚规范。</x:v>
      </x:c>
      <x:c r="F6" s="615" t="str">
        <x:v>补充基础设施</x:v>
      </x:c>
      <x:c r="G6" s="599" t="str">
        <x:v>schema change</x:v>
      </x:c>
      <x:c r="H6" s="599" t="str">
        <x:v>migration artifacts</x:v>
      </x:c>
      <x:c r="I6" s="599" t="str">
        <x:v>CI/CD、备份</x:v>
      </x:c>
      <x:c r="J6" s="599" t="str">
        <x:v>所有Schema变更必须通过迁移。</x:v>
      </x:c>
      <x:c r="K6" s="615" t="str">
        <x:v>补充</x:v>
      </x:c>
      <x:c r="L6" s="615" t="str">
        <x:v>是</x:v>
      </x:c>
      <x:c r="M6" s="615" t="str">
        <x:v>P0</x:v>
      </x:c>
      <x:c r="N6" s="615" t="str">
        <x:v>是</x:v>
      </x:c>
      <x:c r="O6" s="599" t="str">
        <x:v>新环境可从零部署，旧环境可安全升级。</x:v>
      </x:c>
      <x:c r="P6" s="615" t="str">
        <x:v>未开始</x:v>
      </x:c>
      <x:c r="Q6" s="615" t="str"/>
      <x:c r="R6" s="600" t="str"/>
    </x:row>
    <x:row r="7" ht="34" customHeight="1">
      <x:c r="A7" s="716" t="n">
        <x:v>7</x:v>
      </x:c>
      <x:c r="B7" s="444" t="str">
        <x:v>技术基础设施域</x:v>
      </x:c>
      <x:c r="C7" s="444" t="str">
        <x:v>对象存储</x:v>
      </x:c>
      <x:c r="D7" s="444" t="str">
        <x:v>对象生命周期与访问控制</x:v>
      </x:c>
      <x:c r="E7" s="444" t="str">
        <x:v>管理文档、证据、报告的路径、权限和保留周期。</x:v>
      </x:c>
      <x:c r="F7" s="717" t="str">
        <x:v>补充基础设施</x:v>
      </x:c>
      <x:c r="G7" s="444" t="str">
        <x:v>objects</x:v>
      </x:c>
      <x:c r="H7" s="444" t="str">
        <x:v>object refs/lifecycle</x:v>
      </x:c>
      <x:c r="I7" s="444" t="str">
        <x:v>存储层、认证</x:v>
      </x:c>
      <x:c r="J7" s="444" t="str">
        <x:v>敏感对象需授权和脱敏。</x:v>
      </x:c>
      <x:c r="K7" s="717" t="str">
        <x:v>补充</x:v>
      </x:c>
      <x:c r="L7" s="717" t="str">
        <x:v>是</x:v>
      </x:c>
      <x:c r="M7" s="717" t="str">
        <x:v>P1</x:v>
      </x:c>
      <x:c r="N7" s="717" t="str">
        <x:v>否</x:v>
      </x:c>
      <x:c r="O7" s="444" t="str">
        <x:v>对象可按业务ID追踪和清理。</x:v>
      </x:c>
      <x:c r="P7" s="717" t="str">
        <x:v>未开始</x:v>
      </x:c>
      <x:c r="Q7" s="717" t="str"/>
      <x:c r="R7" s="445" t="str"/>
    </x:row>
    <x:row r="8" ht="34" customHeight="1">
      <x:c r="A8" s="613" t="n">
        <x:v>7</x:v>
      </x:c>
      <x:c r="B8" s="599" t="str">
        <x:v>技术基础设施域</x:v>
      </x:c>
      <x:c r="C8" s="599" t="str">
        <x:v>消息任务</x:v>
      </x:c>
      <x:c r="D8" s="599" t="str">
        <x:v>消息与任务基础设施</x:v>
      </x:c>
      <x:c r="E8" s="599" t="str">
        <x:v>提供 Kafka/RabbitMQ/Worker、重试和死信。</x:v>
      </x:c>
      <x:c r="F8" s="615" t="str">
        <x:v>基础设施</x:v>
      </x:c>
      <x:c r="G8" s="599" t="str">
        <x:v>events/jobs</x:v>
      </x:c>
      <x:c r="H8" s="599" t="str">
        <x:v>queued work</x:v>
      </x:c>
      <x:c r="I8" s="599" t="str">
        <x:v>Job模型、监控</x:v>
      </x:c>
      <x:c r="J8" s="599" t="str">
        <x:v>消息需幂等，禁止携带大正文和密钥。</x:v>
      </x:c>
      <x:c r="K8" s="615" t="str">
        <x:v>原图</x:v>
      </x:c>
      <x:c r="L8" s="615" t="str">
        <x:v>是</x:v>
      </x:c>
      <x:c r="M8" s="615" t="str">
        <x:v>P0</x:v>
      </x:c>
      <x:c r="N8" s="615" t="str">
        <x:v>是</x:v>
      </x:c>
      <x:c r="O8" s="599" t="str">
        <x:v>重复消息不会产生重复资产或执行。</x:v>
      </x:c>
      <x:c r="P8" s="615" t="str">
        <x:v>未开始</x:v>
      </x:c>
      <x:c r="Q8" s="615" t="str"/>
      <x:c r="R8" s="600" t="str"/>
    </x:row>
    <x:row r="9" ht="34" customHeight="1">
      <x:c r="A9" s="716" t="n">
        <x:v>7</x:v>
      </x:c>
      <x:c r="B9" s="444" t="str">
        <x:v>技术基础设施域</x:v>
      </x:c>
      <x:c r="C9" s="444" t="str">
        <x:v>CI/CD</x:v>
      </x:c>
      <x:c r="D9" s="444" t="str">
        <x:v>CI/CD</x:v>
      </x:c>
      <x:c r="E9" s="444" t="str">
        <x:v>实现测试、构建、扫描、部署和回滚。</x:v>
      </x:c>
      <x:c r="F9" s="717" t="str">
        <x:v>基础设施</x:v>
      </x:c>
      <x:c r="G9" s="444" t="str">
        <x:v>source code</x:v>
      </x:c>
      <x:c r="H9" s="444" t="str">
        <x:v>artifacts/deployments</x:v>
      </x:c>
      <x:c r="I9" s="444" t="str">
        <x:v>代码仓库、容器平台</x:v>
      </x:c>
      <x:c r="J9" s="444" t="str">
        <x:v>V2和旧链应独立灰度。</x:v>
      </x:c>
      <x:c r="K9" s="717" t="str">
        <x:v>原图</x:v>
      </x:c>
      <x:c r="L9" s="717" t="str">
        <x:v>是</x:v>
      </x:c>
      <x:c r="M9" s="717" t="str">
        <x:v>P0</x:v>
      </x:c>
      <x:c r="N9" s="717" t="str">
        <x:v>是</x:v>
      </x:c>
      <x:c r="O9" s="444" t="str">
        <x:v>PR自动验证，发布可追踪和回滚。</x:v>
      </x:c>
      <x:c r="P9" s="717" t="str">
        <x:v>未开始</x:v>
      </x:c>
      <x:c r="Q9" s="717" t="str"/>
      <x:c r="R9" s="445" t="str"/>
    </x:row>
    <x:row r="10" ht="34" customHeight="1">
      <x:c r="A10" s="613" t="n">
        <x:v>7</x:v>
      </x:c>
      <x:c r="B10" s="599" t="str">
        <x:v>技术基础设施域</x:v>
      </x:c>
      <x:c r="C10" s="599" t="str">
        <x:v>质量保障</x:v>
      </x:c>
      <x:c r="D10" s="599" t="str">
        <x:v>自动化测试与架构守卫</x:v>
      </x:c>
      <x:c r="E10" s="599" t="str">
        <x:v>提供单测、集成、契约和架构测试。</x:v>
      </x:c>
      <x:c r="F10" s="615" t="str">
        <x:v>补充测试</x:v>
      </x:c>
      <x:c r="G10" s="599" t="str">
        <x:v>code/contracts</x:v>
      </x:c>
      <x:c r="H10" s="599" t="str">
        <x:v>test reports</x:v>
      </x:c>
      <x:c r="I10" s="599" t="str">
        <x:v>CI/CD</x:v>
      </x:c>
      <x:c r="J10" s="599" t="str">
        <x:v>架构测试应禁止生成侧导入转换/编译模块。</x:v>
      </x:c>
      <x:c r="K10" s="615" t="str">
        <x:v>补充</x:v>
      </x:c>
      <x:c r="L10" s="615" t="str">
        <x:v>是</x:v>
      </x:c>
      <x:c r="M10" s="615" t="str">
        <x:v>P0</x:v>
      </x:c>
      <x:c r="N10" s="615" t="str">
        <x:v>是</x:v>
      </x:c>
      <x:c r="O10" s="599" t="str">
        <x:v>违规依赖在CI中直接失败。</x:v>
      </x:c>
      <x:c r="P10" s="615" t="str">
        <x:v>未开始</x:v>
      </x:c>
      <x:c r="Q10" s="615" t="str"/>
      <x:c r="R10" s="600" t="str"/>
    </x:row>
    <x:row r="11" ht="34" customHeight="1">
      <x:c r="A11" s="716" t="n">
        <x:v>7</x:v>
      </x:c>
      <x:c r="B11" s="444" t="str">
        <x:v>技术基础设施域</x:v>
      </x:c>
      <x:c r="C11" s="444" t="str">
        <x:v>可观测性</x:v>
      </x:c>
      <x:c r="D11" s="444" t="str">
        <x:v>可观测性</x:v>
      </x:c>
      <x:c r="E11" s="444" t="str">
        <x:v>提供 Metrics、Logs、Traces 和告警。</x:v>
      </x:c>
      <x:c r="F11" s="717" t="str">
        <x:v>基础设施</x:v>
      </x:c>
      <x:c r="G11" s="444" t="str">
        <x:v>service telemetry</x:v>
      </x:c>
      <x:c r="H11" s="444" t="str">
        <x:v>dashboard/alerts</x:v>
      </x:c>
      <x:c r="I11" s="444" t="str">
        <x:v>Prometheus/Grafana/OTel</x:v>
      </x:c>
      <x:c r="J11" s="444" t="str">
        <x:v>统一trace字段，日志脱敏。</x:v>
      </x:c>
      <x:c r="K11" s="717" t="str">
        <x:v>原图</x:v>
      </x:c>
      <x:c r="L11" s="717" t="str">
        <x:v>是</x:v>
      </x:c>
      <x:c r="M11" s="717" t="str">
        <x:v>P0</x:v>
      </x:c>
      <x:c r="N11" s="717" t="str">
        <x:v>是</x:v>
      </x:c>
      <x:c r="O11" s="444" t="str">
        <x:v>可定位跨服务生成、转换和执行链路。</x:v>
      </x:c>
      <x:c r="P11" s="717" t="str">
        <x:v>未开始</x:v>
      </x:c>
      <x:c r="Q11" s="717" t="str"/>
      <x:c r="R11" s="445" t="str"/>
    </x:row>
    <x:row r="12" ht="34" customHeight="1">
      <x:c r="A12" s="613" t="n">
        <x:v>7</x:v>
      </x:c>
      <x:c r="B12" s="599" t="str">
        <x:v>技术基础设施域</x:v>
      </x:c>
      <x:c r="C12" s="599" t="str">
        <x:v>配置</x:v>
      </x:c>
      <x:c r="D12" s="599" t="str">
        <x:v>配置中心</x:v>
      </x:c>
      <x:c r="E12" s="599" t="str">
        <x:v>统一管理模型、阈值、策略、服务地址和Feature Flag。</x:v>
      </x:c>
      <x:c r="F12" s="615" t="str">
        <x:v>基础设施</x:v>
      </x:c>
      <x:c r="G12" s="599" t="str">
        <x:v>config values</x:v>
      </x:c>
      <x:c r="H12" s="599" t="str">
        <x:v>versioned config</x:v>
      </x:c>
      <x:c r="I12" s="599" t="str">
        <x:v>审计、环境</x:v>
      </x:c>
      <x:c r="J12" s="599" t="str">
        <x:v>配置按环境隔离并可回滚。</x:v>
      </x:c>
      <x:c r="K12" s="615" t="str">
        <x:v>原图</x:v>
      </x:c>
      <x:c r="L12" s="615" t="str">
        <x:v>否</x:v>
      </x:c>
      <x:c r="M12" s="615" t="str">
        <x:v>P1</x:v>
      </x:c>
      <x:c r="N12" s="615" t="str">
        <x:v>否</x:v>
      </x:c>
      <x:c r="O12" s="599" t="str">
        <x:v>关键配置变更可追踪。</x:v>
      </x:c>
      <x:c r="P12" s="615" t="str">
        <x:v>未开始</x:v>
      </x:c>
      <x:c r="Q12" s="615" t="str"/>
      <x:c r="R12" s="600" t="str"/>
    </x:row>
    <x:row r="13" ht="34" customHeight="1">
      <x:c r="A13" s="716" t="n">
        <x:v>7</x:v>
      </x:c>
      <x:c r="B13" s="444" t="str">
        <x:v>技术基础设施域</x:v>
      </x:c>
      <x:c r="C13" s="444" t="str">
        <x:v>密钥</x:v>
      </x:c>
      <x:c r="D13" s="444" t="str">
        <x:v>密钥基础设施</x:v>
      </x:c>
      <x:c r="E13" s="444" t="str">
        <x:v>使用 Vault/KMS 保存和轮换敏感信息。</x:v>
      </x:c>
      <x:c r="F13" s="717" t="str">
        <x:v>基础设施</x:v>
      </x:c>
      <x:c r="G13" s="444" t="str">
        <x:v>secret material</x:v>
      </x:c>
      <x:c r="H13" s="444" t="str">
        <x:v>runtime secret injection</x:v>
      </x:c>
      <x:c r="I13" s="444" t="str">
        <x:v>凭证中心、审计</x:v>
      </x:c>
      <x:c r="J13" s="444" t="str">
        <x:v>代码库、配置中心和普通DB不得存明文密钥。</x:v>
      </x:c>
      <x:c r="K13" s="717" t="str">
        <x:v>原图</x:v>
      </x:c>
      <x:c r="L13" s="717" t="str">
        <x:v>否</x:v>
      </x:c>
      <x:c r="M13" s="717" t="str">
        <x:v>P1</x:v>
      </x:c>
      <x:c r="N13" s="717" t="str">
        <x:v>否</x:v>
      </x:c>
      <x:c r="O13" s="444" t="str">
        <x:v>密钥可轮换且访问有审计。</x:v>
      </x:c>
      <x:c r="P13" s="717" t="str">
        <x:v>未开始</x:v>
      </x:c>
      <x:c r="Q13" s="717" t="str"/>
      <x:c r="R13" s="445" t="str"/>
    </x:row>
    <x:row r="14" ht="34" customHeight="1">
      <x:c r="A14" s="613" t="n">
        <x:v>7</x:v>
      </x:c>
      <x:c r="B14" s="599" t="str">
        <x:v>技术基础设施域</x:v>
      </x:c>
      <x:c r="C14" s="599" t="str">
        <x:v>网络</x:v>
      </x:c>
      <x:c r="D14" s="599" t="str">
        <x:v>服务发现与网络安全</x:v>
      </x:c>
      <x:c r="E14" s="599" t="str">
        <x:v>提供服务发现、TLS、网络策略和入口防护。</x:v>
      </x:c>
      <x:c r="F14" s="615" t="str">
        <x:v>补充基础设施</x:v>
      </x:c>
      <x:c r="G14" s="599" t="str">
        <x:v>service endpoints</x:v>
      </x:c>
      <x:c r="H14" s="599" t="str">
        <x:v>secure connectivity</x:v>
      </x:c>
      <x:c r="I14" s="599" t="str">
        <x:v>K8s、API Gateway</x:v>
      </x:c>
      <x:c r="J14" s="599" t="str">
        <x:v>内部服务也需认证和最小网络权限。</x:v>
      </x:c>
      <x:c r="K14" s="615" t="str">
        <x:v>补充</x:v>
      </x:c>
      <x:c r="L14" s="615" t="str">
        <x:v>否</x:v>
      </x:c>
      <x:c r="M14" s="615" t="str">
        <x:v>P1</x:v>
      </x:c>
      <x:c r="N14" s="615" t="str">
        <x:v>否</x:v>
      </x:c>
      <x:c r="O14" s="599" t="str">
        <x:v>服务间通信可控、加密、可审计。</x:v>
      </x:c>
      <x:c r="P14" s="615" t="str">
        <x:v>未开始</x:v>
      </x:c>
      <x:c r="Q14" s="615" t="str"/>
      <x:c r="R14" s="600" t="str"/>
    </x:row>
    <x:row r="15" ht="34" customHeight="1">
      <x:c r="A15" s="716" t="n">
        <x:v>7</x:v>
      </x:c>
      <x:c r="B15" s="444" t="str">
        <x:v>技术基础设施域</x:v>
      </x:c>
      <x:c r="C15" s="444" t="str">
        <x:v>灾备</x:v>
      </x:c>
      <x:c r="D15" s="444" t="str">
        <x:v>备份与灾难恢复</x:v>
      </x:c>
      <x:c r="E15" s="444" t="str">
        <x:v>定期备份数据库和对象存储并进行恢复演练。</x:v>
      </x:c>
      <x:c r="F15" s="717" t="str">
        <x:v>基础设施</x:v>
      </x:c>
      <x:c r="G15" s="444" t="str">
        <x:v>persistent data</x:v>
      </x:c>
      <x:c r="H15" s="444" t="str">
        <x:v>backup/restore artifacts</x:v>
      </x:c>
      <x:c r="I15" s="444" t="str">
        <x:v>存储、监控</x:v>
      </x:c>
      <x:c r="J15" s="444" t="str">
        <x:v>明确RPO/RTO，备份数据同样需加密。</x:v>
      </x:c>
      <x:c r="K15" s="717" t="str">
        <x:v>原图</x:v>
      </x:c>
      <x:c r="L15" s="717" t="str">
        <x:v>否</x:v>
      </x:c>
      <x:c r="M15" s="717" t="str">
        <x:v>P1</x:v>
      </x:c>
      <x:c r="N15" s="717" t="str">
        <x:v>否</x:v>
      </x:c>
      <x:c r="O15" s="444" t="str">
        <x:v>定期恢复演练通过。</x:v>
      </x:c>
      <x:c r="P15" s="717" t="str">
        <x:v>未开始</x:v>
      </x:c>
      <x:c r="Q15" s="717" t="str"/>
      <x:c r="R15" s="445" t="str"/>
    </x:row>
    <x:row r="16" ht="34" customHeight="1">
      <x:c r="A16" s="613" t="n">
        <x:v>7</x:v>
      </x:c>
      <x:c r="B16" s="599" t="str">
        <x:v>技术基础设施域</x:v>
      </x:c>
      <x:c r="C16" s="599" t="str">
        <x:v>容量</x:v>
      </x:c>
      <x:c r="D16" s="599" t="str">
        <x:v>SLO、容量与成本治理</x:v>
      </x:c>
      <x:c r="E16" s="599" t="str">
        <x:v>定义可用性、延迟、容量、扩缩容和成本指标。</x:v>
      </x:c>
      <x:c r="F16" s="615" t="str">
        <x:v>补充治理</x:v>
      </x:c>
      <x:c r="G16" s="599" t="str">
        <x:v>usage metrics</x:v>
      </x:c>
      <x:c r="H16" s="599" t="str">
        <x:v>SLO/capacity plan</x:v>
      </x:c>
      <x:c r="I16" s="599" t="str">
        <x:v>监控、K8s、配额</x:v>
      </x:c>
      <x:c r="J16" s="599" t="str">
        <x:v>先以真实负载迭代，避免过度建设。</x:v>
      </x:c>
      <x:c r="K16" s="615" t="str">
        <x:v>补充</x:v>
      </x:c>
      <x:c r="L16" s="615" t="str">
        <x:v>否</x:v>
      </x:c>
      <x:c r="M16" s="615" t="str">
        <x:v>P2</x:v>
      </x:c>
      <x:c r="N16" s="615" t="str">
        <x:v>否</x:v>
      </x:c>
      <x:c r="O16" s="599" t="str">
        <x:v>核心服务有容量基线和告警阈值。</x:v>
      </x:c>
      <x:c r="P16" s="615" t="str">
        <x:v>未开始</x:v>
      </x:c>
      <x:c r="Q16" s="615" t="str"/>
      <x:c r="R16" s="600" t="str"/>
    </x:row>
    <x:row r="17" ht="34" customHeight="1">
      <x:c r="A17" s="716" t="n">
        <x:v>7</x:v>
      </x:c>
      <x:c r="B17" s="444" t="str">
        <x:v>技术基础设施域</x:v>
      </x:c>
      <x:c r="C17" s="444" t="str">
        <x:v>安全</x:v>
      </x:c>
      <x:c r="D17" s="444" t="str">
        <x:v>依赖与镜像安全扫描</x:v>
      </x:c>
      <x:c r="E17" s="444" t="str">
        <x:v>扫描依赖漏洞、镜像风险和许可证问题。</x:v>
      </x:c>
      <x:c r="F17" s="717" t="str">
        <x:v>补充安全</x:v>
      </x:c>
      <x:c r="G17" s="444" t="str">
        <x:v>code/image</x:v>
      </x:c>
      <x:c r="H17" s="444" t="str">
        <x:v>security scan report</x:v>
      </x:c>
      <x:c r="I17" s="444" t="str">
        <x:v>CI/CD</x:v>
      </x:c>
      <x:c r="J17" s="444" t="str">
        <x:v>高危漏洞阻断发布。</x:v>
      </x:c>
      <x:c r="K17" s="717" t="str">
        <x:v>补充</x:v>
      </x:c>
      <x:c r="L17" s="717" t="str">
        <x:v>否</x:v>
      </x:c>
      <x:c r="M17" s="717" t="str">
        <x:v>P1</x:v>
      </x:c>
      <x:c r="N17" s="717" t="str">
        <x:v>否</x:v>
      </x:c>
      <x:c r="O17" s="444" t="str">
        <x:v>发布制品通过安全基线。</x:v>
      </x:c>
      <x:c r="P17" s="717" t="str">
        <x:v>未开始</x:v>
      </x:c>
      <x:c r="Q17" s="717" t="str"/>
      <x:c r="R17" s="445" t="str"/>
    </x:row>
  </x:sheetData>
  <x:mergeCells>
    <x:mergeCell ref="A1:R1"/>
  </x:mergeCells>
  <x:conditionalFormatting sqref="K4:K17">
    <x:cfRule type="expression" dxfId="124" priority="1">
      <x:formula>K4="补充"</x:formula>
    </x:cfRule>
    <x:cfRule type="expression" dxfId="125" priority="2">
      <x:formula>K4="原图"</x:formula>
    </x:cfRule>
  </x:conditionalFormatting>
  <x:conditionalFormatting sqref="L4:L17">
    <x:cfRule type="expression" dxfId="126" priority="3">
      <x:formula>L4="是"</x:formula>
    </x:cfRule>
    <x:cfRule type="expression" dxfId="127" priority="4">
      <x:formula>L4="否"</x:formula>
    </x:cfRule>
  </x:conditionalFormatting>
  <x:conditionalFormatting sqref="M4:M17">
    <x:cfRule type="expression" dxfId="128" priority="5">
      <x:formula>M4="P0"</x:formula>
    </x:cfRule>
    <x:cfRule type="expression" dxfId="129" priority="6">
      <x:formula>M4="P1"</x:formula>
    </x:cfRule>
    <x:cfRule type="expression" dxfId="130" priority="7">
      <x:formula>M4="P2"</x:formula>
    </x:cfRule>
  </x:conditionalFormatting>
  <x:conditionalFormatting sqref="N4:N17">
    <x:cfRule type="expression" dxfId="131" priority="8">
      <x:formula>N4="是"</x:formula>
    </x:cfRule>
    <x:cfRule type="expression" dxfId="132" priority="9">
      <x:formula>N4="否"</x:formula>
    </x:cfRule>
  </x:conditionalFormatting>
  <x:conditionalFormatting sqref="P4:P17">
    <x:cfRule type="expression" dxfId="133" priority="10">
      <x:formula>P4="未开始"</x:formula>
    </x:cfRule>
    <x:cfRule type="expression" dxfId="134" priority="11">
      <x:formula>P4="进行中"</x:formula>
    </x:cfRule>
    <x:cfRule type="expression" dxfId="135" priority="12">
      <x:formula>P4="阻塞"</x:formula>
    </x:cfRule>
    <x:cfRule type="expression" dxfId="136" priority="13">
      <x:formula>P4="已完成"</x:formula>
    </x:cfRule>
    <x:cfRule type="expression" dxfId="137" priority="14">
      <x:formula>P4="已取消"</x:formula>
    </x:cfRule>
  </x:conditionalFormatting>
  <x:dataValidations count="1">
    <x:dataValidation type="list" sqref="P4:P17">
      <x:formula1>"未开始,进行中,阻塞,已完成,已取消"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34" hidden="0" customWidth="1"/>
    <x:col min="5" max="5" width="36" hidden="0" customWidth="1"/>
    <x:col min="6" max="6" width="38" hidden="0" customWidth="1"/>
    <x:col min="7" max="7" width="28" hidden="0" customWidth="1"/>
    <x:col min="8" max="8" width="12" hidden="0" customWidth="1"/>
  </x:cols>
  <x:sheetData>
    <x:row r="1" ht="34" customHeight="1">
      <x:c r="A1" s="684" t="str">
        <x:v>MVP 建设路线图</x:v>
      </x:c>
      <x:c r="B1" s="685"/>
      <x:c r="C1" s="685"/>
      <x:c r="D1" s="685"/>
      <x:c r="E1" s="685"/>
      <x:c r="F1" s="685"/>
      <x:c r="G1" s="685"/>
      <x:c r="H1" s="686"/>
    </x:row>
    <x:row r="2">
      <x:c r="A2" s="177"/>
      <x:c r="B2" s="177"/>
      <x:c r="C2" s="177"/>
      <x:c r="D2" s="177"/>
      <x:c r="E2" s="177"/>
      <x:c r="F2" s="177"/>
      <x:c r="G2" s="177"/>
      <x:c r="H2" s="177"/>
    </x:row>
    <x:row r="3" ht="34" customHeight="1">
      <x:c r="A3" s="558" t="str">
        <x:v>阶段</x:v>
      </x:c>
      <x:c r="B3" s="560" t="str">
        <x:v>目标</x:v>
      </x:c>
      <x:c r="C3" s="566" t="str">
        <x:v>必做范围</x:v>
      </x:c>
      <x:c r="D3" s="568" t="str">
        <x:v>明确不做</x:v>
      </x:c>
      <x:c r="E3" s="574" t="str">
        <x:v>核心演示</x:v>
      </x:c>
      <x:c r="F3" s="576" t="str">
        <x:v>退出标准</x:v>
      </x:c>
      <x:c r="G3" s="582" t="str">
        <x:v>主要风险</x:v>
      </x:c>
      <x:c r="H3" s="584" t="str">
        <x:v>建议顺序</x:v>
      </x:c>
    </x:row>
    <x:row r="4" ht="68" customHeight="1">
      <x:c r="A4" s="751" t="str">
        <x:v>MVP-0</x:v>
      </x:c>
      <x:c r="B4" s="407" t="str">
        <x:v>冻结旧链、建立V2边界</x:v>
      </x:c>
      <x:c r="C4" s="407" t="str">
        <x:v>项目作用域、统一ID、核心表、Feature Flag、架构测试</x:v>
      </x:c>
      <x:c r="D4" s="407" t="str">
        <x:v>页面对象高级能力、数据工厂、异常安全性能</x:v>
      </x:c>
      <x:c r="E4" s="407" t="str">
        <x:v>生成侧无法再调用Compiler</x:v>
      </x:c>
      <x:c r="F4" s="407" t="str">
        <x:v>数据契约评审通过，V2独立目录和接口可运行</x:v>
      </x:c>
      <x:c r="G4" s="407" t="str">
        <x:v>旧链耦合、未提交代码污染</x:v>
      </x:c>
      <x:c r="H4" s="408" t="str">
        <x:v>先做</x:v>
      </x:c>
    </x:row>
    <x:row r="5" ht="68" customHeight="1">
      <x:c r="A5" s="752" t="str">
        <x:v>MVP-1</x:v>
      </x:c>
      <x:c r="B5" s="414" t="str">
        <x:v>自然语言资产闭环</x:v>
      </x:c>
      <x:c r="C5" s="414" t="str">
        <x:v>文档/手工输入、AI自然语言、自动入库、幂等、精确去重、资产编辑审核</x:v>
      </x:c>
      <x:c r="D5" s="414" t="str">
        <x:v>语义去重、高级标签、机器转换</x:v>
      </x:c>
      <x:c r="E5" s="414" t="str">
        <x:v>上传需求后直接生成资产并按批次查看编辑</x:v>
      </x:c>
      <x:c r="F5" s="414" t="str">
        <x:v>无候选预览；所有结果可无条件入库</x:v>
      </x:c>
      <x:c r="G5" s="414" t="str">
        <x:v>ID和来源关系丢失</x:v>
      </x:c>
      <x:c r="H5" s="415" t="str">
        <x:v>第二</x:v>
      </x:c>
    </x:row>
    <x:row r="6" ht="68" customHeight="1">
      <x:c r="A6" s="753" t="str">
        <x:v>MVP-2</x:v>
      </x:c>
      <x:c r="B6" s="420" t="str">
        <x:v>第一条可执行功能用例</x:v>
      </x:c>
      <x:c r="C6" s="420" t="str">
        <x:v>页面对象V1、固定数据V1、环境V1、Manifest、BoundPlan、质量门、Playwright编译</x:v>
      </x:c>
      <x:c r="D6" s="420" t="str">
        <x:v>异常、安全、性能、复杂矩阵</x:v>
      </x:c>
      <x:c r="E6" s="420" t="str">
        <x:v>审核一条登录资产并生成script_code</x:v>
      </x:c>
      <x:c r="F6" s="420" t="str">
        <x:v>仅转换成功创建TestCase，失败有结构化错误</x:v>
      </x:c>
      <x:c r="G6" s="420" t="str">
        <x:v>资源模型不足、AI解析不稳定</x:v>
      </x:c>
      <x:c r="H6" s="421" t="str">
        <x:v>第三</x:v>
      </x:c>
    </x:row>
    <x:row r="7" ht="68" customHeight="1">
      <x:c r="A7" s="754" t="str">
        <x:v>MVP-3</x:v>
      </x:c>
      <x:c r="B7" s="432" t="str">
        <x:v>稳定执行闭环</x:v>
      </x:c>
      <x:c r="C7" s="432" t="str">
        <x:v>调度、执行控制、Execution、Evidence、Report、cleanup</x:v>
      </x:c>
      <x:c r="D7" s="432" t="str">
        <x:v>高级Runner、复杂失败归因</x:v>
      </x:c>
      <x:c r="E7" s="432" t="str">
        <x:v>执行成功和失败用例并查看证据报告</x:v>
      </x:c>
      <x:c r="F7" s="432" t="str">
        <x:v>Runner只读script_code，环境可恢复</x:v>
      </x:c>
      <x:c r="G7" s="432" t="str">
        <x:v>清理失败、环境污染</x:v>
      </x:c>
      <x:c r="H7" s="433" t="str">
        <x:v>第四</x:v>
      </x:c>
    </x:row>
    <x:row r="8" ht="68" customHeight="1">
      <x:c r="A8" s="755" t="str">
        <x:v>扩展期</x:v>
      </x:c>
      <x:c r="B8" s="426" t="str">
        <x:v>高级公共能力</x:v>
      </x:c>
      <x:c r="C8" s="426" t="str">
        <x:v>Mock、异常、安全、性能、API Runner、反馈闭环</x:v>
      </x:c>
      <x:c r="D8" s="426" t="str">
        <x:v>完整企业RBAC和多租户可后置</x:v>
      </x:c>
      <x:c r="E8" s="426" t="str">
        <x:v>弱网、安全或性能场景通过同一网关接入</x:v>
      </x:c>
      <x:c r="F8" s="426" t="str">
        <x:v>新增能力不产生新业务链</x:v>
      </x:c>
      <x:c r="G8" s="426" t="str">
        <x:v>过早扩展导致周期失控</x:v>
      </x:c>
      <x:c r="H8" s="427" t="str">
        <x:v>最后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3" hidden="0" customWidth="1"/>
    <x:col min="4" max="4" width="31" hidden="0" customWidth="1"/>
    <x:col min="5" max="5" width="32" hidden="0" customWidth="1"/>
    <x:col min="6" max="6" width="15" hidden="0" customWidth="1"/>
    <x:col min="7" max="7" width="10" hidden="0" customWidth="1"/>
    <x:col min="8" max="8" width="24" hidden="0" customWidth="1"/>
    <x:col min="9" max="9" width="22" hidden="0" customWidth="1"/>
    <x:col min="10" max="10" width="26" hidden="0" customWidth="1"/>
    <x:col min="11" max="11" width="27" hidden="0" customWidth="1"/>
    <x:col min="12" max="12" width="24" hidden="0" customWidth="1"/>
    <x:col min="13" max="13" width="24" hidden="0" customWidth="1"/>
    <x:col min="14" max="14" width="27" hidden="0" customWidth="1"/>
    <x:col min="15" max="15" width="24" hidden="0" customWidth="1"/>
    <x:col min="16" max="16" width="40" hidden="0" customWidth="1"/>
  </x:cols>
  <x:sheetData>
    <x:row r="1" ht="34" customHeight="1">
      <x:c r="A1" s="858" t="str">
        <x:v>全平台核心 ID 与字段字典</x:v>
      </x:c>
      <x:c r="B1" s="859"/>
      <x:c r="C1" s="859"/>
      <x:c r="D1" s="859"/>
      <x:c r="E1" s="859"/>
      <x:c r="F1" s="859"/>
      <x:c r="G1" s="859"/>
      <x:c r="H1" s="859"/>
      <x:c r="I1" s="859"/>
      <x:c r="J1" s="859"/>
      <x:c r="K1" s="859"/>
      <x:c r="L1" s="859"/>
      <x:c r="M1" s="859"/>
      <x:c r="N1" s="859"/>
      <x:c r="O1" s="859"/>
      <x:c r="P1" s="860"/>
    </x:row>
    <x:row r="2" ht="30" customHeight="1">
      <x:c r="A2" s="866" t="str">
        <x:v>本表回答：字段是什么、何时创建、由谁生成、是否必填、关联什么实体、落在哪个事实源。</x:v>
      </x:c>
      <x:c r="B2" s="867"/>
      <x:c r="C2" s="867"/>
      <x:c r="D2" s="867"/>
      <x:c r="E2" s="867"/>
      <x:c r="F2" s="867"/>
      <x:c r="G2" s="867"/>
      <x:c r="H2" s="867"/>
      <x:c r="I2" s="867"/>
      <x:c r="J2" s="867"/>
      <x:c r="K2" s="867"/>
      <x:c r="L2" s="867"/>
      <x:c r="M2" s="867"/>
      <x:c r="N2" s="867"/>
      <x:c r="O2" s="867"/>
      <x:c r="P2" s="868"/>
    </x:row>
    <x:row r="4" ht="36" customHeight="1">
      <x:c r="A4" s="879" t="str">
        <x:v>层级</x:v>
      </x:c>
      <x:c r="B4" s="880" t="str">
        <x:v>域名称</x:v>
      </x:c>
      <x:c r="C4" s="880" t="str">
        <x:v>实体/对象</x:v>
      </x:c>
      <x:c r="D4" s="881" t="str">
        <x:v>字段/ID</x:v>
      </x:c>
      <x:c r="E4" s="893" t="str">
        <x:v>字段含义</x:v>
      </x:c>
      <x:c r="F4" s="894" t="str">
        <x:v>数据类型</x:v>
      </x:c>
      <x:c r="G4" s="894" t="str">
        <x:v>是否必填</x:v>
      </x:c>
      <x:c r="H4" s="895" t="str">
        <x:v>创建时机</x:v>
      </x:c>
      <x:c r="I4" s="906" t="str">
        <x:v>生成/维护方</x:v>
      </x:c>
      <x:c r="J4" s="907" t="str">
        <x:v>来源字段</x:v>
      </x:c>
      <x:c r="K4" s="907" t="str">
        <x:v>关联对象</x:v>
      </x:c>
      <x:c r="L4" s="908" t="str">
        <x:v>唯一性/索引</x:v>
      </x:c>
      <x:c r="M4" s="920" t="str">
        <x:v>事实源</x:v>
      </x:c>
      <x:c r="N4" s="921" t="str">
        <x:v>生命周期/状态</x:v>
      </x:c>
      <x:c r="O4" s="921" t="str">
        <x:v>示例</x:v>
      </x:c>
      <x:c r="P4" s="922" t="str">
        <x:v>关键约束</x:v>
      </x:c>
    </x:row>
    <x:row r="5" ht="34" customHeight="1">
      <x:c r="A5" s="960" t="n">
        <x:v>1</x:v>
      </x:c>
      <x:c r="B5" s="961" t="str">
        <x:v>多元输入与自然语言生成域</x:v>
      </x:c>
      <x:c r="C5" s="952" t="str">
        <x:v>Project</x:v>
      </x:c>
      <x:c r="D5" s="952" t="str">
        <x:v>project_id</x:v>
      </x:c>
      <x:c r="E5" s="952" t="str">
        <x:v>项目作用域主键</x:v>
      </x:c>
      <x:c r="F5" s="952" t="str">
        <x:v>UUID/字符串</x:v>
      </x:c>
      <x:c r="G5" s="952" t="str">
        <x:v>是</x:v>
      </x:c>
      <x:c r="H5" s="952" t="str">
        <x:v>创建项目时</x:v>
      </x:c>
      <x:c r="I5" s="952" t="str">
        <x:v>项目服务</x:v>
      </x:c>
      <x:c r="J5" s="952" t="str">
        <x:v>系统生成</x:v>
      </x:c>
      <x:c r="K5" s="952" t="str">
        <x:v>所有业务实体</x:v>
      </x:c>
      <x:c r="L5" s="952" t="str">
        <x:v>全局唯一，核心查询索引</x:v>
      </x:c>
      <x:c r="M5" s="952" t="str">
        <x:v>Project</x:v>
      </x:c>
      <x:c r="N5" s="952" t="str">
        <x:v>active/archived</x:v>
      </x:c>
      <x:c r="O5" s="952" t="str">
        <x:v>prj_01H...</x:v>
      </x:c>
      <x:c r="P5" s="953" t="str">
        <x:v>禁止使用 default 项目作为正式数据</x:v>
      </x:c>
    </x:row>
    <x:row r="6" ht="34" customHeight="1">
      <x:c r="A6" s="962" t="n">
        <x:v>1</x:v>
      </x:c>
      <x:c r="B6" s="963" t="str">
        <x:v>多元输入与自然语言生成域</x:v>
      </x:c>
      <x:c r="C6" s="955" t="str">
        <x:v>Requirement</x:v>
      </x:c>
      <x:c r="D6" s="955" t="str">
        <x:v>requirement_id</x:v>
      </x:c>
      <x:c r="E6" s="955" t="str">
        <x:v>需求主键</x:v>
      </x:c>
      <x:c r="F6" s="955" t="str">
        <x:v>UUID/字符串</x:v>
      </x:c>
      <x:c r="G6" s="955" t="str">
        <x:v>是</x:v>
      </x:c>
      <x:c r="H6" s="955" t="str">
        <x:v>需求创建/导入时</x:v>
      </x:c>
      <x:c r="I6" s="955" t="str">
        <x:v>需求服务</x:v>
      </x:c>
      <x:c r="J6" s="955" t="str">
        <x:v>系统生成或外部映射</x:v>
      </x:c>
      <x:c r="K6" s="955" t="str">
        <x:v>project_id、source_id</x:v>
      </x:c>
      <x:c r="L6" s="955" t="str">
        <x:v>项目内唯一索引</x:v>
      </x:c>
      <x:c r="M6" s="955" t="str">
        <x:v>Requirement</x:v>
      </x:c>
      <x:c r="N6" s="955" t="str">
        <x:v>draft/active/closed</x:v>
      </x:c>
      <x:c r="O6" s="955" t="str">
        <x:v>req_01H...</x:v>
      </x:c>
      <x:c r="P6" s="956" t="str">
        <x:v>AI不得生成权威 requirement_id</x:v>
      </x:c>
    </x:row>
    <x:row r="7" ht="34" customHeight="1">
      <x:c r="A7" s="964" t="n">
        <x:v>1</x:v>
      </x:c>
      <x:c r="B7" s="965" t="str">
        <x:v>多元输入与自然语言生成域</x:v>
      </x:c>
      <x:c r="C7" s="958" t="str">
        <x:v>Requirement</x:v>
      </x:c>
      <x:c r="D7" s="958" t="str">
        <x:v>external_requirement_key</x:v>
      </x:c>
      <x:c r="E7" s="958" t="str">
        <x:v>外部需求系统编号</x:v>
      </x:c>
      <x:c r="F7" s="958" t="str">
        <x:v>字符串</x:v>
      </x:c>
      <x:c r="G7" s="958" t="str">
        <x:v>否</x:v>
      </x:c>
      <x:c r="H7" s="958" t="str">
        <x:v>外部需求导入时</x:v>
      </x:c>
      <x:c r="I7" s="958" t="str">
        <x:v>来源适配器</x:v>
      </x:c>
      <x:c r="J7" s="958" t="str">
        <x:v>Jira/禅道等外部ID</x:v>
      </x:c>
      <x:c r="K7" s="958" t="str">
        <x:v>requirement_id</x:v>
      </x:c>
      <x:c r="L7" s="958" t="str">
        <x:v>project_id + source_system + key 唯一</x:v>
      </x:c>
      <x:c r="M7" s="958" t="str">
        <x:v>Requirement</x:v>
      </x:c>
      <x:c r="N7" s="958" t="str">
        <x:v>随需求</x:v>
      </x:c>
      <x:c r="O7" s="958" t="str">
        <x:v>JIRA-1234</x:v>
      </x:c>
      <x:c r="P7" s="959" t="str">
        <x:v>用于外部系统映射，不作为平台主键</x:v>
      </x:c>
    </x:row>
    <x:row r="8" ht="34" customHeight="1">
      <x:c r="A8" s="962" t="n">
        <x:v>1</x:v>
      </x:c>
      <x:c r="B8" s="963" t="str">
        <x:v>多元输入与自然语言生成域</x:v>
      </x:c>
      <x:c r="C8" s="955" t="str">
        <x:v>SourceRecord</x:v>
      </x:c>
      <x:c r="D8" s="955" t="str">
        <x:v>source_id</x:v>
      </x:c>
      <x:c r="E8" s="955" t="str">
        <x:v>统一输入来源主键</x:v>
      </x:c>
      <x:c r="F8" s="955" t="str">
        <x:v>UUID/字符串</x:v>
      </x:c>
      <x:c r="G8" s="955" t="str">
        <x:v>是</x:v>
      </x:c>
      <x:c r="H8" s="955" t="str">
        <x:v>输入接收时</x:v>
      </x:c>
      <x:c r="I8" s="955" t="str">
        <x:v>输入服务</x:v>
      </x:c>
      <x:c r="J8" s="955" t="str">
        <x:v>系统生成</x:v>
      </x:c>
      <x:c r="K8" s="955" t="str">
        <x:v>requirement_id/document_id</x:v>
      </x:c>
      <x:c r="L8" s="955" t="str">
        <x:v>全局唯一</x:v>
      </x:c>
      <x:c r="M8" s="955" t="str">
        <x:v>SourceRecord</x:v>
      </x:c>
      <x:c r="N8" s="955" t="str">
        <x:v>received/processed/failed</x:v>
      </x:c>
      <x:c r="O8" s="955" t="str">
        <x:v>src_01H...</x:v>
      </x:c>
      <x:c r="P8" s="956" t="str">
        <x:v>所有输入必须先登记来源</x:v>
      </x:c>
    </x:row>
    <x:row r="9" ht="34" customHeight="1">
      <x:c r="A9" s="964" t="n">
        <x:v>1</x:v>
      </x:c>
      <x:c r="B9" s="965" t="str">
        <x:v>多元输入与自然语言生成域</x:v>
      </x:c>
      <x:c r="C9" s="958" t="str">
        <x:v>SourceRecord</x:v>
      </x:c>
      <x:c r="D9" s="958" t="str">
        <x:v>source_type</x:v>
      </x:c>
      <x:c r="E9" s="958" t="str">
        <x:v>来源类型</x:v>
      </x:c>
      <x:c r="F9" s="958" t="str">
        <x:v>枚举</x:v>
      </x:c>
      <x:c r="G9" s="958" t="str">
        <x:v>是</x:v>
      </x:c>
      <x:c r="H9" s="958" t="str">
        <x:v>输入接收时</x:v>
      </x:c>
      <x:c r="I9" s="958" t="str">
        <x:v>输入服务</x:v>
      </x:c>
      <x:c r="J9" s="958" t="str">
        <x:v>请求参数</x:v>
      </x:c>
      <x:c r="K9" s="958" t="str">
        <x:v>来源适配器</x:v>
      </x:c>
      <x:c r="L9" s="958" t="str">
        <x:v>普通索引</x:v>
      </x:c>
      <x:c r="M9" s="958" t="str">
        <x:v>SourceRecord</x:v>
      </x:c>
      <x:c r="N9" s="958" t="str">
        <x:v>document/openapi/defect/log/manual</x:v>
      </x:c>
      <x:c r="O9" s="958" t="str">
        <x:v>document</x:v>
      </x:c>
      <x:c r="P9" s="959" t="str">
        <x:v>只允许平台注册类型</x:v>
      </x:c>
    </x:row>
    <x:row r="10" ht="34" customHeight="1">
      <x:c r="A10" s="962" t="n">
        <x:v>1</x:v>
      </x:c>
      <x:c r="B10" s="963" t="str">
        <x:v>多元输入与自然语言生成域</x:v>
      </x:c>
      <x:c r="C10" s="955" t="str">
        <x:v>SourceDocument</x:v>
      </x:c>
      <x:c r="D10" s="955" t="str">
        <x:v>document_id</x:v>
      </x:c>
      <x:c r="E10" s="955" t="str">
        <x:v>文档主键</x:v>
      </x:c>
      <x:c r="F10" s="955" t="str">
        <x:v>UUID/字符串</x:v>
      </x:c>
      <x:c r="G10" s="955" t="str">
        <x:v>条件必填</x:v>
      </x:c>
      <x:c r="H10" s="955" t="str">
        <x:v>文档上传或外部文档同步时</x:v>
      </x:c>
      <x:c r="I10" s="955" t="str">
        <x:v>文档服务</x:v>
      </x:c>
      <x:c r="J10" s="955" t="str">
        <x:v>系统生成</x:v>
      </x:c>
      <x:c r="K10" s="955" t="str">
        <x:v>requirement_id、source_id</x:v>
      </x:c>
      <x:c r="L10" s="955" t="str">
        <x:v>全局唯一</x:v>
      </x:c>
      <x:c r="M10" s="955" t="str">
        <x:v>SourceDocument</x:v>
      </x:c>
      <x:c r="N10" s="955" t="str">
        <x:v>uploaded/parsing/parsed/failed</x:v>
      </x:c>
      <x:c r="O10" s="955" t="str">
        <x:v>doc_01H...</x:v>
      </x:c>
      <x:c r="P10" s="956" t="str">
        <x:v>文档类输入必须存在</x:v>
      </x:c>
    </x:row>
    <x:row r="11" ht="34" customHeight="1">
      <x:c r="A11" s="964" t="n">
        <x:v>1</x:v>
      </x:c>
      <x:c r="B11" s="965" t="str">
        <x:v>多元输入与自然语言生成域</x:v>
      </x:c>
      <x:c r="C11" s="958" t="str">
        <x:v>SourceDocument</x:v>
      </x:c>
      <x:c r="D11" s="958" t="str">
        <x:v>document_version_id</x:v>
      </x:c>
      <x:c r="E11" s="958" t="str">
        <x:v>文档内容版本主键</x:v>
      </x:c>
      <x:c r="F11" s="958" t="str">
        <x:v>UUID/字符串</x:v>
      </x:c>
      <x:c r="G11" s="958" t="str">
        <x:v>是</x:v>
      </x:c>
      <x:c r="H11" s="958" t="str">
        <x:v>每次文档替换/更新时</x:v>
      </x:c>
      <x:c r="I11" s="958" t="str">
        <x:v>文档服务</x:v>
      </x:c>
      <x:c r="J11" s="958" t="str">
        <x:v>系统生成</x:v>
      </x:c>
      <x:c r="K11" s="958" t="str">
        <x:v>document_id</x:v>
      </x:c>
      <x:c r="L11" s="958" t="str">
        <x:v>document_id + version_no 唯一</x:v>
      </x:c>
      <x:c r="M11" s="958" t="str">
        <x:v>DocumentVersion</x:v>
      </x:c>
      <x:c r="N11" s="958" t="str">
        <x:v>current/superseded</x:v>
      </x:c>
      <x:c r="O11" s="958" t="str">
        <x:v>docv_03</x:v>
      </x:c>
      <x:c r="P11" s="959" t="str">
        <x:v>生成上下文必须绑定明确版本</x:v>
      </x:c>
    </x:row>
    <x:row r="12" ht="34" customHeight="1">
      <x:c r="A12" s="962" t="n">
        <x:v>1</x:v>
      </x:c>
      <x:c r="B12" s="963" t="str">
        <x:v>多元输入与自然语言生成域</x:v>
      </x:c>
      <x:c r="C12" s="955" t="str">
        <x:v>SourceDocument</x:v>
      </x:c>
      <x:c r="D12" s="955" t="str">
        <x:v>content_checksum</x:v>
      </x:c>
      <x:c r="E12" s="955" t="str">
        <x:v>文档内容校验值</x:v>
      </x:c>
      <x:c r="F12" s="955" t="str">
        <x:v>SHA-256字符串</x:v>
      </x:c>
      <x:c r="G12" s="955" t="str">
        <x:v>是</x:v>
      </x:c>
      <x:c r="H12" s="955" t="str">
        <x:v>文件落库时</x:v>
      </x:c>
      <x:c r="I12" s="955" t="str">
        <x:v>文档服务</x:v>
      </x:c>
      <x:c r="J12" s="955" t="str">
        <x:v>文件字节计算</x:v>
      </x:c>
      <x:c r="K12" s="955" t="str">
        <x:v>document_version_id</x:v>
      </x:c>
      <x:c r="L12" s="955" t="str">
        <x:v>索引，可用于精确重复</x:v>
      </x:c>
      <x:c r="M12" s="955" t="str">
        <x:v>DocumentVersion</x:v>
      </x:c>
      <x:c r="N12" s="955" t="str">
        <x:v>不可变</x:v>
      </x:c>
      <x:c r="O12" s="955" t="str">
        <x:v>sha256:...</x:v>
      </x:c>
      <x:c r="P12" s="956" t="str">
        <x:v>不可由文件名替代</x:v>
      </x:c>
    </x:row>
    <x:row r="13" ht="34" customHeight="1">
      <x:c r="A13" s="964" t="n">
        <x:v>1</x:v>
      </x:c>
      <x:c r="B13" s="965" t="str">
        <x:v>多元输入与自然语言生成域</x:v>
      </x:c>
      <x:c r="C13" s="958" t="str">
        <x:v>DocumentSection</x:v>
      </x:c>
      <x:c r="D13" s="958" t="str">
        <x:v>section_id</x:v>
      </x:c>
      <x:c r="E13" s="958" t="str">
        <x:v>章节主键</x:v>
      </x:c>
      <x:c r="F13" s="958" t="str">
        <x:v>UUID/字符串</x:v>
      </x:c>
      <x:c r="G13" s="958" t="str">
        <x:v>条件必填</x:v>
      </x:c>
      <x:c r="H13" s="958" t="str">
        <x:v>文档解析时</x:v>
      </x:c>
      <x:c r="I13" s="958" t="str">
        <x:v>文档解析服务</x:v>
      </x:c>
      <x:c r="J13" s="958" t="str">
        <x:v>系统生成</x:v>
      </x:c>
      <x:c r="K13" s="958" t="str">
        <x:v>document_version_id、parent_section_id</x:v>
      </x:c>
      <x:c r="L13" s="958" t="str">
        <x:v>全局唯一</x:v>
      </x:c>
      <x:c r="M13" s="958" t="str">
        <x:v>DocumentSection</x:v>
      </x:c>
      <x:c r="N13" s="958" t="str">
        <x:v>active</x:v>
      </x:c>
      <x:c r="O13" s="958" t="str">
        <x:v>sec_01H...</x:v>
      </x:c>
      <x:c r="P13" s="959" t="str">
        <x:v>章节重新解析需定义稳定映射策略</x:v>
      </x:c>
    </x:row>
    <x:row r="14" ht="34" customHeight="1">
      <x:c r="A14" s="962" t="n">
        <x:v>1</x:v>
      </x:c>
      <x:c r="B14" s="963" t="str">
        <x:v>多元输入与自然语言生成域</x:v>
      </x:c>
      <x:c r="C14" s="955" t="str">
        <x:v>DocumentSection</x:v>
      </x:c>
      <x:c r="D14" s="955" t="str">
        <x:v>section_path</x:v>
      </x:c>
      <x:c r="E14" s="955" t="str">
        <x:v>章节层级路径</x:v>
      </x:c>
      <x:c r="F14" s="955" t="str">
        <x:v>字符串/数组</x:v>
      </x:c>
      <x:c r="G14" s="955" t="str">
        <x:v>是</x:v>
      </x:c>
      <x:c r="H14" s="955" t="str">
        <x:v>文档解析时</x:v>
      </x:c>
      <x:c r="I14" s="955" t="str">
        <x:v>文档解析服务</x:v>
      </x:c>
      <x:c r="J14" s="955" t="str">
        <x:v>标题层级生成</x:v>
      </x:c>
      <x:c r="K14" s="955" t="str">
        <x:v>section_id</x:v>
      </x:c>
      <x:c r="L14" s="955" t="str">
        <x:v>document_version_id内索引</x:v>
      </x:c>
      <x:c r="M14" s="955" t="str">
        <x:v>DocumentSection</x:v>
      </x:c>
      <x:c r="N14" s="955" t="str">
        <x:v>随版本</x:v>
      </x:c>
      <x:c r="O14" s="955" t="str">
        <x:v>1/1.2/1.2.3</x:v>
      </x:c>
      <x:c r="P14" s="956" t="str">
        <x:v>用于展示和来源追踪</x:v>
      </x:c>
    </x:row>
    <x:row r="15" ht="34" customHeight="1">
      <x:c r="A15" s="964" t="n">
        <x:v>1</x:v>
      </x:c>
      <x:c r="B15" s="965" t="str">
        <x:v>多元输入与自然语言生成域</x:v>
      </x:c>
      <x:c r="C15" s="958" t="str">
        <x:v>DocumentSection</x:v>
      </x:c>
      <x:c r="D15" s="958" t="str">
        <x:v>page_range</x:v>
      </x:c>
      <x:c r="E15" s="958" t="str">
        <x:v>原文页码范围</x:v>
      </x:c>
      <x:c r="F15" s="958" t="str">
        <x:v>字符串/数组</x:v>
      </x:c>
      <x:c r="G15" s="958" t="str">
        <x:v>否</x:v>
      </x:c>
      <x:c r="H15" s="958" t="str">
        <x:v>文档解析时</x:v>
      </x:c>
      <x:c r="I15" s="958" t="str">
        <x:v>文档解析服务</x:v>
      </x:c>
      <x:c r="J15" s="958" t="str">
        <x:v>解析器</x:v>
      </x:c>
      <x:c r="K15" s="958" t="str">
        <x:v>section_id</x:v>
      </x:c>
      <x:c r="L15" s="958" t="str">
        <x:v>普通索引</x:v>
      </x:c>
      <x:c r="M15" s="958" t="str">
        <x:v>DocumentSection</x:v>
      </x:c>
      <x:c r="N15" s="958" t="str">
        <x:v>随版本</x:v>
      </x:c>
      <x:c r="O15" s="958" t="str">
        <x:v>[12,15]</x:v>
      </x:c>
      <x:c r="P15" s="959" t="str">
        <x:v>页码为来源元数据，不替代 section_id</x:v>
      </x:c>
    </x:row>
    <x:row r="16" ht="34" customHeight="1">
      <x:c r="A16" s="962" t="n">
        <x:v>1</x:v>
      </x:c>
      <x:c r="B16" s="963" t="str">
        <x:v>多元输入与自然语言生成域</x:v>
      </x:c>
      <x:c r="C16" s="955" t="str">
        <x:v>GenerationContext</x:v>
      </x:c>
      <x:c r="D16" s="955" t="str">
        <x:v>generation_context_id</x:v>
      </x:c>
      <x:c r="E16" s="955" t="str">
        <x:v>一次生成上下文主键</x:v>
      </x:c>
      <x:c r="F16" s="955" t="str">
        <x:v>UUID/字符串</x:v>
      </x:c>
      <x:c r="G16" s="955" t="str">
        <x:v>是</x:v>
      </x:c>
      <x:c r="H16" s="955" t="str">
        <x:v>模型调用前</x:v>
      </x:c>
      <x:c r="I16" s="955" t="str">
        <x:v>生成上下文服务</x:v>
      </x:c>
      <x:c r="J16" s="955" t="str">
        <x:v>系统生成</x:v>
      </x:c>
      <x:c r="K16" s="955" t="str">
        <x:v>项目/需求/文档/章节/页面</x:v>
      </x:c>
      <x:c r="L16" s="955" t="str">
        <x:v>全局唯一</x:v>
      </x:c>
      <x:c r="M16" s="955" t="str">
        <x:v>GenerationContext</x:v>
      </x:c>
      <x:c r="N16" s="955" t="str">
        <x:v>created/locked</x:v>
      </x:c>
      <x:c r="O16" s="955" t="str">
        <x:v>gctx_01H...</x:v>
      </x:c>
      <x:c r="P16" s="956" t="str">
        <x:v>模型调用前创建并锁定</x:v>
      </x:c>
    </x:row>
    <x:row r="17" ht="34" customHeight="1">
      <x:c r="A17" s="964" t="n">
        <x:v>1</x:v>
      </x:c>
      <x:c r="B17" s="965" t="str">
        <x:v>多元输入与自然语言生成域</x:v>
      </x:c>
      <x:c r="C17" s="958" t="str">
        <x:v>GenerationContext</x:v>
      </x:c>
      <x:c r="D17" s="958" t="str">
        <x:v>section_ids</x:v>
      </x:c>
      <x:c r="E17" s="958" t="str">
        <x:v>选中的章节集合</x:v>
      </x:c>
      <x:c r="F17" s="958" t="str">
        <x:v>JSON数组/关联表</x:v>
      </x:c>
      <x:c r="G17" s="958" t="str">
        <x:v>否</x:v>
      </x:c>
      <x:c r="H17" s="958" t="str">
        <x:v>创建上下文时</x:v>
      </x:c>
      <x:c r="I17" s="958" t="str">
        <x:v>生成上下文服务</x:v>
      </x:c>
      <x:c r="J17" s="958" t="str">
        <x:v>用户选择</x:v>
      </x:c>
      <x:c r="K17" s="958" t="str">
        <x:v>DocumentSection</x:v>
      </x:c>
      <x:c r="L17" s="958" t="str">
        <x:v>关联表联合唯一</x:v>
      </x:c>
      <x:c r="M17" s="958" t="str">
        <x:v>GenerationContext</x:v>
      </x:c>
      <x:c r="N17" s="958" t="str">
        <x:v>不可变快照</x:v>
      </x:c>
      <x:c r="O17" s="958" t="str">
        <x:v>[sec_01,sec_02]</x:v>
      </x:c>
      <x:c r="P17" s="959" t="str">
        <x:v>后续资产继承这些来源关系</x:v>
      </x:c>
    </x:row>
    <x:row r="18" ht="34" customHeight="1">
      <x:c r="A18" s="962" t="n">
        <x:v>1</x:v>
      </x:c>
      <x:c r="B18" s="963" t="str">
        <x:v>多元输入与自然语言生成域</x:v>
      </x:c>
      <x:c r="C18" s="955" t="str">
        <x:v>GenerationContext</x:v>
      </x:c>
      <x:c r="D18" s="955" t="str">
        <x:v>page_ids</x:v>
      </x:c>
      <x:c r="E18" s="955" t="str">
        <x:v>选中的页面对象集合</x:v>
      </x:c>
      <x:c r="F18" s="955" t="str">
        <x:v>JSON数组/关联表</x:v>
      </x:c>
      <x:c r="G18" s="955" t="str">
        <x:v>否</x:v>
      </x:c>
      <x:c r="H18" s="955" t="str">
        <x:v>创建上下文时</x:v>
      </x:c>
      <x:c r="I18" s="955" t="str">
        <x:v>生成上下文服务</x:v>
      </x:c>
      <x:c r="J18" s="955" t="str">
        <x:v>用户选择/项目配置</x:v>
      </x:c>
      <x:c r="K18" s="955" t="str">
        <x:v>Page</x:v>
      </x:c>
      <x:c r="L18" s="955" t="str">
        <x:v>关联表联合唯一</x:v>
      </x:c>
      <x:c r="M18" s="955" t="str">
        <x:v>GenerationContext</x:v>
      </x:c>
      <x:c r="N18" s="955" t="str">
        <x:v>不可变快照</x:v>
      </x:c>
      <x:c r="O18" s="955" t="str">
        <x:v>[page_login]</x:v>
      </x:c>
      <x:c r="P18" s="956" t="str">
        <x:v>必须验证页面属于当前项目</x:v>
      </x:c>
    </x:row>
    <x:row r="19" ht="34" customHeight="1">
      <x:c r="A19" s="964" t="n">
        <x:v>1</x:v>
      </x:c>
      <x:c r="B19" s="965" t="str">
        <x:v>多元输入与自然语言生成域</x:v>
      </x:c>
      <x:c r="C19" s="958" t="str">
        <x:v>GenerationBatch</x:v>
      </x:c>
      <x:c r="D19" s="958" t="str">
        <x:v>generation_batch_id</x:v>
      </x:c>
      <x:c r="E19" s="958" t="str">
        <x:v>一次生成批次主键</x:v>
      </x:c>
      <x:c r="F19" s="958" t="str">
        <x:v>UUID/字符串</x:v>
      </x:c>
      <x:c r="G19" s="958" t="str">
        <x:v>是</x:v>
      </x:c>
      <x:c r="H19" s="958" t="str">
        <x:v>提交生成任务时</x:v>
      </x:c>
      <x:c r="I19" s="958" t="str">
        <x:v>生成服务</x:v>
      </x:c>
      <x:c r="J19" s="958" t="str">
        <x:v>系统生成</x:v>
      </x:c>
      <x:c r="K19" s="958" t="str">
        <x:v>generation_context_id、request_id</x:v>
      </x:c>
      <x:c r="L19" s="958" t="str">
        <x:v>全局唯一</x:v>
      </x:c>
      <x:c r="M19" s="958" t="str">
        <x:v>GenerationBatch</x:v>
      </x:c>
      <x:c r="N19" s="958" t="str">
        <x:v>queued/running/partial/succeeded/failed</x:v>
      </x:c>
      <x:c r="O19" s="958" t="str">
        <x:v>gb_01H...</x:v>
      </x:c>
      <x:c r="P19" s="959" t="str">
        <x:v>批次ID贯穿生成和资产入库</x:v>
      </x:c>
    </x:row>
    <x:row r="20" ht="34" customHeight="1">
      <x:c r="A20" s="962" t="n">
        <x:v>1</x:v>
      </x:c>
      <x:c r="B20" s="963" t="str">
        <x:v>多元输入与自然语言生成域</x:v>
      </x:c>
      <x:c r="C20" s="955" t="str">
        <x:v>GenerationBatch</x:v>
      </x:c>
      <x:c r="D20" s="955" t="str">
        <x:v>request_id</x:v>
      </x:c>
      <x:c r="E20" s="955" t="str">
        <x:v>入口请求主键</x:v>
      </x:c>
      <x:c r="F20" s="955" t="str">
        <x:v>UUID/字符串</x:v>
      </x:c>
      <x:c r="G20" s="955" t="str">
        <x:v>是</x:v>
      </x:c>
      <x:c r="H20" s="955" t="str">
        <x:v>请求进入平台时</x:v>
      </x:c>
      <x:c r="I20" s="955" t="str">
        <x:v>API Gateway</x:v>
      </x:c>
      <x:c r="J20" s="955" t="str">
        <x:v>系统生成/可信客户端传入</x:v>
      </x:c>
      <x:c r="K20" s="955" t="str">
        <x:v>trace_id</x:v>
      </x:c>
      <x:c r="L20" s="955" t="str">
        <x:v>全局唯一或客户端幂等</x:v>
      </x:c>
      <x:c r="M20" s="955" t="str">
        <x:v>请求日志</x:v>
      </x:c>
      <x:c r="N20" s="955" t="str">
        <x:v>received/completed</x:v>
      </x:c>
      <x:c r="O20" s="955" t="str">
        <x:v>reqst_01H...</x:v>
      </x:c>
      <x:c r="P20" s="956" t="str">
        <x:v>与 requirement_id 含义不同</x:v>
      </x:c>
    </x:row>
    <x:row r="21" ht="34" customHeight="1">
      <x:c r="A21" s="964" t="n">
        <x:v>1</x:v>
      </x:c>
      <x:c r="B21" s="965" t="str">
        <x:v>多元输入与自然语言生成域</x:v>
      </x:c>
      <x:c r="C21" s="958" t="str">
        <x:v>GenerationBatch</x:v>
      </x:c>
      <x:c r="D21" s="958" t="str">
        <x:v>idempotency_key</x:v>
      </x:c>
      <x:c r="E21" s="958" t="str">
        <x:v>生成请求幂等键</x:v>
      </x:c>
      <x:c r="F21" s="958" t="str">
        <x:v>字符串</x:v>
      </x:c>
      <x:c r="G21" s="958" t="str">
        <x:v>是</x:v>
      </x:c>
      <x:c r="H21" s="958" t="str">
        <x:v>请求提交时</x:v>
      </x:c>
      <x:c r="I21" s="958" t="str">
        <x:v>客户端/网关</x:v>
      </x:c>
      <x:c r="J21" s="958" t="str">
        <x:v>请求头或系统计算</x:v>
      </x:c>
      <x:c r="K21" s="958" t="str">
        <x:v>generation_batch_id</x:v>
      </x:c>
      <x:c r="L21" s="958" t="str">
        <x:v>project_id + key 唯一</x:v>
      </x:c>
      <x:c r="M21" s="958" t="str">
        <x:v>幂等存储</x:v>
      </x:c>
      <x:c r="N21" s="958" t="str">
        <x:v>active/expired</x:v>
      </x:c>
      <x:c r="O21" s="958" t="str">
        <x:v>idem_...</x:v>
      </x:c>
      <x:c r="P21" s="959" t="str">
        <x:v>重试时不得产生新资产批次</x:v>
      </x:c>
    </x:row>
    <x:row r="22" ht="34" customHeight="1">
      <x:c r="A22" s="962" t="n">
        <x:v>1</x:v>
      </x:c>
      <x:c r="B22" s="963" t="str">
        <x:v>多元输入与自然语言生成域</x:v>
      </x:c>
      <x:c r="C22" s="955" t="str">
        <x:v>ModelRun</x:v>
      </x:c>
      <x:c r="D22" s="955" t="str">
        <x:v>model_run_id</x:v>
      </x:c>
      <x:c r="E22" s="955" t="str">
        <x:v>一次模型调用主键</x:v>
      </x:c>
      <x:c r="F22" s="955" t="str">
        <x:v>UUID/字符串</x:v>
      </x:c>
      <x:c r="G22" s="955" t="str">
        <x:v>是</x:v>
      </x:c>
      <x:c r="H22" s="955" t="str">
        <x:v>模型调用前</x:v>
      </x:c>
      <x:c r="I22" s="955" t="str">
        <x:v>AI生成服务</x:v>
      </x:c>
      <x:c r="J22" s="955" t="str">
        <x:v>系统生成</x:v>
      </x:c>
      <x:c r="K22" s="955" t="str">
        <x:v>generation_batch_id</x:v>
      </x:c>
      <x:c r="L22" s="955" t="str">
        <x:v>全局唯一</x:v>
      </x:c>
      <x:c r="M22" s="955" t="str">
        <x:v>ModelRun</x:v>
      </x:c>
      <x:c r="N22" s="955" t="str">
        <x:v>running/succeeded/failed</x:v>
      </x:c>
      <x:c r="O22" s="955" t="str">
        <x:v>mr_01H...</x:v>
      </x:c>
      <x:c r="P22" s="956" t="str">
        <x:v>一个批次可有多次模型调用</x:v>
      </x:c>
    </x:row>
    <x:row r="23" ht="34" customHeight="1">
      <x:c r="A23" s="964" t="n">
        <x:v>1</x:v>
      </x:c>
      <x:c r="B23" s="965" t="str">
        <x:v>多元输入与自然语言生成域</x:v>
      </x:c>
      <x:c r="C23" s="958" t="str">
        <x:v>ModelRun</x:v>
      </x:c>
      <x:c r="D23" s="958" t="str">
        <x:v>prompt_version</x:v>
      </x:c>
      <x:c r="E23" s="958" t="str">
        <x:v>Prompt版本</x:v>
      </x:c>
      <x:c r="F23" s="958" t="str">
        <x:v>字符串/整数</x:v>
      </x:c>
      <x:c r="G23" s="958" t="str">
        <x:v>是</x:v>
      </x:c>
      <x:c r="H23" s="958" t="str">
        <x:v>模型调用时</x:v>
      </x:c>
      <x:c r="I23" s="958" t="str">
        <x:v>Prompt管理</x:v>
      </x:c>
      <x:c r="J23" s="958" t="str">
        <x:v>配置中心</x:v>
      </x:c>
      <x:c r="K23" s="958" t="str">
        <x:v>model_run_id</x:v>
      </x:c>
      <x:c r="L23" s="958" t="str">
        <x:v>普通索引</x:v>
      </x:c>
      <x:c r="M23" s="958" t="str">
        <x:v>Prompt Registry</x:v>
      </x:c>
      <x:c r="N23" s="958" t="str">
        <x:v>published/retired</x:v>
      </x:c>
      <x:c r="O23" s="958" t="str">
        <x:v>prd-testpoint-v4</x:v>
      </x:c>
      <x:c r="P23" s="959" t="str">
        <x:v>必须可追溯</x:v>
      </x:c>
    </x:row>
    <x:row r="24" ht="34" customHeight="1">
      <x:c r="A24" s="962" t="n">
        <x:v>1</x:v>
      </x:c>
      <x:c r="B24" s="963" t="str">
        <x:v>多元输入与自然语言生成域</x:v>
      </x:c>
      <x:c r="C24" s="955" t="str">
        <x:v>NaturalLanguageTestPointDTO</x:v>
      </x:c>
      <x:c r="D24" s="955" t="str">
        <x:v>generated_item_key</x:v>
      </x:c>
      <x:c r="E24" s="955" t="str">
        <x:v>批次内生成项稳定键</x:v>
      </x:c>
      <x:c r="F24" s="955" t="str">
        <x:v>字符串</x:v>
      </x:c>
      <x:c r="G24" s="955" t="str">
        <x:v>是</x:v>
      </x:c>
      <x:c r="H24" s="955" t="str">
        <x:v>解析模型响应时</x:v>
      </x:c>
      <x:c r="I24" s="955" t="str">
        <x:v>AI生成服务</x:v>
      </x:c>
      <x:c r="J24" s="955" t="str">
        <x:v>响应序号+内容指纹</x:v>
      </x:c>
      <x:c r="K24" s="955" t="str">
        <x:v>generation_batch_id</x:v>
      </x:c>
      <x:c r="L24" s="955" t="str">
        <x:v>batch_id + item_key 唯一</x:v>
      </x:c>
      <x:c r="M24" s="955" t="str">
        <x:v>临时传输对象</x:v>
      </x:c>
      <x:c r="N24" s="955" t="str">
        <x:v>直到入库完成</x:v>
      </x:c>
      <x:c r="O24" s="955" t="str">
        <x:v>item_0001</x:v>
      </x:c>
      <x:c r="P24" s="956" t="str">
        <x:v>用于消息重投幂等</x:v>
      </x:c>
    </x:row>
    <x:row r="25" ht="34" customHeight="1">
      <x:c r="A25" s="964" t="n">
        <x:v>1</x:v>
      </x:c>
      <x:c r="B25" s="965" t="str">
        <x:v>多元输入与自然语言生成域</x:v>
      </x:c>
      <x:c r="C25" s="958" t="str">
        <x:v>NaturalLanguageTestPointDTO</x:v>
      </x:c>
      <x:c r="D25" s="958" t="str">
        <x:v>title/precondition/natural_steps/expected_result</x:v>
      </x:c>
      <x:c r="E25" s="958" t="str">
        <x:v>AI自然语言业务字段</x:v>
      </x:c>
      <x:c r="F25" s="958" t="str">
        <x:v>文本/数组</x:v>
      </x:c>
      <x:c r="G25" s="958" t="str">
        <x:v>是</x:v>
      </x:c>
      <x:c r="H25" s="958" t="str">
        <x:v>模型返回时</x:v>
      </x:c>
      <x:c r="I25" s="958" t="str">
        <x:v>AI生成服务</x:v>
      </x:c>
      <x:c r="J25" s="958" t="str">
        <x:v>模型输出</x:v>
      </x:c>
      <x:c r="K25" s="958" t="str">
        <x:v>TestAssetVersion</x:v>
      </x:c>
      <x:c r="L25" s="958" t="str">
        <x:v>仅Schema校验</x:v>
      </x:c>
      <x:c r="M25" s="958" t="str">
        <x:v>入库前DTO</x:v>
      </x:c>
      <x:c r="N25" s="958" t="str">
        <x:v>临时</x:v>
      </x:c>
      <x:c r="O25" s="958" t="str">
        <x:v>登录成功</x:v>
      </x:c>
      <x:c r="P25" s="959" t="str">
        <x:v>禁止包含机器DSL字段</x:v>
      </x:c>
    </x:row>
    <x:row r="26" ht="34" customHeight="1">
      <x:c r="A26" s="969" t="n">
        <x:v>2</x:v>
      </x:c>
      <x:c r="B26" s="970" t="str">
        <x:v>自然语言测试资产域</x:v>
      </x:c>
      <x:c r="C26" s="958" t="str">
        <x:v>TestAsset</x:v>
      </x:c>
      <x:c r="D26" s="958" t="str">
        <x:v>test_asset_id</x:v>
      </x:c>
      <x:c r="E26" s="958" t="str">
        <x:v>测试资产稳定主键</x:v>
      </x:c>
      <x:c r="F26" s="958" t="str">
        <x:v>UUID/字符串</x:v>
      </x:c>
      <x:c r="G26" s="958" t="str">
        <x:v>是</x:v>
      </x:c>
      <x:c r="H26" s="958" t="str">
        <x:v>统一入库前</x:v>
      </x:c>
      <x:c r="I26" s="958" t="str">
        <x:v>资产入库服务</x:v>
      </x:c>
      <x:c r="J26" s="958" t="str">
        <x:v>系统生成</x:v>
      </x:c>
      <x:c r="K26" s="958" t="str">
        <x:v>project_id、intent_id</x:v>
      </x:c>
      <x:c r="L26" s="958" t="str">
        <x:v>全局唯一</x:v>
      </x:c>
      <x:c r="M26" s="958" t="str">
        <x:v>TestAsset</x:v>
      </x:c>
      <x:c r="N26" s="958" t="str">
        <x:v>active/deleted/merged</x:v>
      </x:c>
      <x:c r="O26" s="958" t="str">
        <x:v>ta_01H...</x:v>
      </x:c>
      <x:c r="P26" s="959" t="str">
        <x:v>不依赖用户勾选候选</x:v>
      </x:c>
    </x:row>
    <x:row r="27" ht="34" customHeight="1">
      <x:c r="A27" s="971" t="n">
        <x:v>2</x:v>
      </x:c>
      <x:c r="B27" s="972" t="str">
        <x:v>自然语言测试资产域</x:v>
      </x:c>
      <x:c r="C27" s="967" t="str">
        <x:v>TestAsset</x:v>
      </x:c>
      <x:c r="D27" s="967" t="str">
        <x:v>intent_id</x:v>
      </x:c>
      <x:c r="E27" s="967" t="str">
        <x:v>业务测试意图主键</x:v>
      </x:c>
      <x:c r="F27" s="967" t="str">
        <x:v>UUID/字符串</x:v>
      </x:c>
      <x:c r="G27" s="967" t="str">
        <x:v>是</x:v>
      </x:c>
      <x:c r="H27" s="967" t="str">
        <x:v>统一入库前</x:v>
      </x:c>
      <x:c r="I27" s="967" t="str">
        <x:v>资产入库服务/现有ID模块</x:v>
      </x:c>
      <x:c r="J27" s="967" t="str">
        <x:v>系统生成或复用现有规则</x:v>
      </x:c>
      <x:c r="K27" s="967" t="str">
        <x:v>test_asset_id、requirement_id</x:v>
      </x:c>
      <x:c r="L27" s="967" t="str">
        <x:v>项目内唯一</x:v>
      </x:c>
      <x:c r="M27" s="967" t="str">
        <x:v>TestAsset</x:v>
      </x:c>
      <x:c r="N27" s="967" t="str">
        <x:v>随资产</x:v>
      </x:c>
      <x:c r="O27" s="967" t="str">
        <x:v>intent_01H...</x:v>
      </x:c>
      <x:c r="P27" s="968" t="str">
        <x:v>必须复用现有ID规则，不建平行体系</x:v>
      </x:c>
    </x:row>
    <x:row r="28" ht="34" customHeight="1">
      <x:c r="A28" s="969" t="n">
        <x:v>2</x:v>
      </x:c>
      <x:c r="B28" s="970" t="str">
        <x:v>自然语言测试资产域</x:v>
      </x:c>
      <x:c r="C28" s="958" t="str">
        <x:v>TestAsset</x:v>
      </x:c>
      <x:c r="D28" s="958" t="str">
        <x:v>current_version_id</x:v>
      </x:c>
      <x:c r="E28" s="958" t="str">
        <x:v>当前资产版本指针</x:v>
      </x:c>
      <x:c r="F28" s="958" t="str">
        <x:v>UUID/字符串</x:v>
      </x:c>
      <x:c r="G28" s="958" t="str">
        <x:v>是</x:v>
      </x:c>
      <x:c r="H28" s="958" t="str">
        <x:v>首次入库/编辑后</x:v>
      </x:c>
      <x:c r="I28" s="958" t="str">
        <x:v>资产服务</x:v>
      </x:c>
      <x:c r="J28" s="958" t="str">
        <x:v>指向AssetVersion</x:v>
      </x:c>
      <x:c r="K28" s="958" t="str">
        <x:v>asset_version_id</x:v>
      </x:c>
      <x:c r="L28" s="958" t="str">
        <x:v>唯一外键</x:v>
      </x:c>
      <x:c r="M28" s="958" t="str">
        <x:v>TestAsset</x:v>
      </x:c>
      <x:c r="N28" s="958" t="str">
        <x:v>随编辑更新</x:v>
      </x:c>
      <x:c r="O28" s="958" t="str">
        <x:v>tav_003</x:v>
      </x:c>
      <x:c r="P28" s="959" t="str">
        <x:v>资产内容读取以当前版本为准</x:v>
      </x:c>
    </x:row>
    <x:row r="29" ht="34" customHeight="1">
      <x:c r="A29" s="971" t="n">
        <x:v>2</x:v>
      </x:c>
      <x:c r="B29" s="972" t="str">
        <x:v>自然语言测试资产域</x:v>
      </x:c>
      <x:c r="C29" s="967" t="str">
        <x:v>AssetVersion</x:v>
      </x:c>
      <x:c r="D29" s="967" t="str">
        <x:v>asset_version_id</x:v>
      </x:c>
      <x:c r="E29" s="967" t="str">
        <x:v>资产自然语言版本主键</x:v>
      </x:c>
      <x:c r="F29" s="967" t="str">
        <x:v>UUID/字符串</x:v>
      </x:c>
      <x:c r="G29" s="967" t="str">
        <x:v>是</x:v>
      </x:c>
      <x:c r="H29" s="967" t="str">
        <x:v>首次入库及每次编辑</x:v>
      </x:c>
      <x:c r="I29" s="967" t="str">
        <x:v>资产服务</x:v>
      </x:c>
      <x:c r="J29" s="967" t="str">
        <x:v>系统生成</x:v>
      </x:c>
      <x:c r="K29" s="967" t="str">
        <x:v>test_asset_id</x:v>
      </x:c>
      <x:c r="L29" s="967" t="str">
        <x:v>test_asset_id + version_no 唯一</x:v>
      </x:c>
      <x:c r="M29" s="967" t="str">
        <x:v>AssetVersion</x:v>
      </x:c>
      <x:c r="N29" s="967" t="str">
        <x:v>immutable</x:v>
      </x:c>
      <x:c r="O29" s="967" t="str">
        <x:v>tav_01H...</x:v>
      </x:c>
      <x:c r="P29" s="968" t="str">
        <x:v>已审核/已转换版本不可被覆盖</x:v>
      </x:c>
    </x:row>
    <x:row r="30" ht="34" customHeight="1">
      <x:c r="A30" s="969" t="n">
        <x:v>2</x:v>
      </x:c>
      <x:c r="B30" s="970" t="str">
        <x:v>自然语言测试资产域</x:v>
      </x:c>
      <x:c r="C30" s="958" t="str">
        <x:v>AssetVersion</x:v>
      </x:c>
      <x:c r="D30" s="958" t="str">
        <x:v>version_no</x:v>
      </x:c>
      <x:c r="E30" s="958" t="str">
        <x:v>资产版本序号</x:v>
      </x:c>
      <x:c r="F30" s="958" t="str">
        <x:v>整数</x:v>
      </x:c>
      <x:c r="G30" s="958" t="str">
        <x:v>是</x:v>
      </x:c>
      <x:c r="H30" s="958" t="str">
        <x:v>保存版本时</x:v>
      </x:c>
      <x:c r="I30" s="958" t="str">
        <x:v>资产服务</x:v>
      </x:c>
      <x:c r="J30" s="958" t="str">
        <x:v>自动递增</x:v>
      </x:c>
      <x:c r="K30" s="958" t="str">
        <x:v>test_asset_id</x:v>
      </x:c>
      <x:c r="L30" s="958" t="str">
        <x:v>联合唯一</x:v>
      </x:c>
      <x:c r="M30" s="958" t="str">
        <x:v>AssetVersion</x:v>
      </x:c>
      <x:c r="N30" s="958" t="str">
        <x:v>不可变</x:v>
      </x:c>
      <x:c r="O30" s="958" t="str">
        <x:v>3</x:v>
      </x:c>
      <x:c r="P30" s="959" t="str">
        <x:v>并发编辑需乐观锁</x:v>
      </x:c>
    </x:row>
    <x:row r="31" ht="34" customHeight="1">
      <x:c r="A31" s="971" t="n">
        <x:v>2</x:v>
      </x:c>
      <x:c r="B31" s="972" t="str">
        <x:v>自然语言测试资产域</x:v>
      </x:c>
      <x:c r="C31" s="967" t="str">
        <x:v>AssetVersion</x:v>
      </x:c>
      <x:c r="D31" s="967" t="str">
        <x:v>title</x:v>
      </x:c>
      <x:c r="E31" s="967" t="str">
        <x:v>测试资产标题</x:v>
      </x:c>
      <x:c r="F31" s="967" t="str">
        <x:v>文本</x:v>
      </x:c>
      <x:c r="G31" s="967" t="str">
        <x:v>是</x:v>
      </x:c>
      <x:c r="H31" s="967" t="str">
        <x:v>入库/编辑时</x:v>
      </x:c>
      <x:c r="I31" s="967" t="str">
        <x:v>AI或用户</x:v>
      </x:c>
      <x:c r="J31" s="967" t="str">
        <x:v>自然语言DTO</x:v>
      </x:c>
      <x:c r="K31" s="967" t="str">
        <x:v>asset_version_id</x:v>
      </x:c>
      <x:c r="L31" s="967" t="str">
        <x:v>全文索引</x:v>
      </x:c>
      <x:c r="M31" s="967" t="str">
        <x:v>AssetVersion</x:v>
      </x:c>
      <x:c r="N31" s="967" t="str">
        <x:v>随版本</x:v>
      </x:c>
      <x:c r="O31" s="967" t="str">
        <x:v>有效用户登录</x:v>
      </x:c>
      <x:c r="P31" s="968" t="str">
        <x:v>自然语言字段</x:v>
      </x:c>
    </x:row>
    <x:row r="32" ht="34" customHeight="1">
      <x:c r="A32" s="969" t="n">
        <x:v>2</x:v>
      </x:c>
      <x:c r="B32" s="970" t="str">
        <x:v>自然语言测试资产域</x:v>
      </x:c>
      <x:c r="C32" s="958" t="str">
        <x:v>AssetVersion</x:v>
      </x:c>
      <x:c r="D32" s="958" t="str">
        <x:v>precondition</x:v>
      </x:c>
      <x:c r="E32" s="958" t="str">
        <x:v>自然语言前置条件</x:v>
      </x:c>
      <x:c r="F32" s="958" t="str">
        <x:v>长文本</x:v>
      </x:c>
      <x:c r="G32" s="958" t="str">
        <x:v>否</x:v>
      </x:c>
      <x:c r="H32" s="958" t="str">
        <x:v>入库/编辑时</x:v>
      </x:c>
      <x:c r="I32" s="958" t="str">
        <x:v>AI或用户</x:v>
      </x:c>
      <x:c r="J32" s="958" t="str">
        <x:v>自然语言DTO</x:v>
      </x:c>
      <x:c r="K32" s="958" t="str">
        <x:v>asset_version_id</x:v>
      </x:c>
      <x:c r="L32" s="958" t="str">
        <x:v>全文索引可选</x:v>
      </x:c>
      <x:c r="M32" s="958" t="str">
        <x:v>AssetVersion</x:v>
      </x:c>
      <x:c r="N32" s="958" t="str">
        <x:v>随版本</x:v>
      </x:c>
      <x:c r="O32" s="958" t="str">
        <x:v>用户账号有效</x:v>
      </x:c>
      <x:c r="P32" s="959" t="str">
        <x:v>不得保存setup机器步骤</x:v>
      </x:c>
    </x:row>
    <x:row r="33" ht="34" customHeight="1">
      <x:c r="A33" s="971" t="n">
        <x:v>2</x:v>
      </x:c>
      <x:c r="B33" s="972" t="str">
        <x:v>自然语言测试资产域</x:v>
      </x:c>
      <x:c r="C33" s="967" t="str">
        <x:v>AssetVersion</x:v>
      </x:c>
      <x:c r="D33" s="967" t="str">
        <x:v>natural_steps</x:v>
      </x:c>
      <x:c r="E33" s="967" t="str">
        <x:v>自然语言测试步骤</x:v>
      </x:c>
      <x:c r="F33" s="967" t="str">
        <x:v>JSON文本数组/长文本</x:v>
      </x:c>
      <x:c r="G33" s="967" t="str">
        <x:v>是</x:v>
      </x:c>
      <x:c r="H33" s="967" t="str">
        <x:v>入库/编辑时</x:v>
      </x:c>
      <x:c r="I33" s="967" t="str">
        <x:v>AI或用户</x:v>
      </x:c>
      <x:c r="J33" s="967" t="str">
        <x:v>自然语言DTO</x:v>
      </x:c>
      <x:c r="K33" s="967" t="str">
        <x:v>asset_version_id</x:v>
      </x:c>
      <x:c r="L33" s="967" t="str">
        <x:v>全文索引</x:v>
      </x:c>
      <x:c r="M33" s="967" t="str">
        <x:v>AssetVersion</x:v>
      </x:c>
      <x:c r="N33" s="967" t="str">
        <x:v>随版本</x:v>
      </x:c>
      <x:c r="O33" s="967" t="str">
        <x:v>[打开登录页,...]</x:v>
      </x:c>
      <x:c r="P33" s="968" t="str">
        <x:v>不得保存action/target/value结构</x:v>
      </x:c>
    </x:row>
    <x:row r="34" ht="34" customHeight="1">
      <x:c r="A34" s="969" t="n">
        <x:v>2</x:v>
      </x:c>
      <x:c r="B34" s="970" t="str">
        <x:v>自然语言测试资产域</x:v>
      </x:c>
      <x:c r="C34" s="958" t="str">
        <x:v>AssetVersion</x:v>
      </x:c>
      <x:c r="D34" s="958" t="str">
        <x:v>expected_result</x:v>
      </x:c>
      <x:c r="E34" s="958" t="str">
        <x:v>自然语言预期结果</x:v>
      </x:c>
      <x:c r="F34" s="958" t="str">
        <x:v>长文本</x:v>
      </x:c>
      <x:c r="G34" s="958" t="str">
        <x:v>是</x:v>
      </x:c>
      <x:c r="H34" s="958" t="str">
        <x:v>入库/编辑时</x:v>
      </x:c>
      <x:c r="I34" s="958" t="str">
        <x:v>AI或用户</x:v>
      </x:c>
      <x:c r="J34" s="958" t="str">
        <x:v>自然语言DTO</x:v>
      </x:c>
      <x:c r="K34" s="958" t="str">
        <x:v>asset_version_id</x:v>
      </x:c>
      <x:c r="L34" s="958" t="str">
        <x:v>全文索引</x:v>
      </x:c>
      <x:c r="M34" s="958" t="str">
        <x:v>AssetVersion</x:v>
      </x:c>
      <x:c r="N34" s="958" t="str">
        <x:v>随版本</x:v>
      </x:c>
      <x:c r="O34" s="958" t="str">
        <x:v>进入首页</x:v>
      </x:c>
      <x:c r="P34" s="959" t="str">
        <x:v>不得提前生成机器断言</x:v>
      </x:c>
    </x:row>
    <x:row r="35" ht="34" customHeight="1">
      <x:c r="A35" s="971" t="n">
        <x:v>2</x:v>
      </x:c>
      <x:c r="B35" s="972" t="str">
        <x:v>自然语言测试资产域</x:v>
      </x:c>
      <x:c r="C35" s="967" t="str">
        <x:v>AssetVersion</x:v>
      </x:c>
      <x:c r="D35" s="967" t="str">
        <x:v>priority/tags</x:v>
      </x:c>
      <x:c r="E35" s="967" t="str">
        <x:v>业务优先级和标签</x:v>
      </x:c>
      <x:c r="F35" s="967" t="str">
        <x:v>枚举/数组</x:v>
      </x:c>
      <x:c r="G35" s="967" t="str">
        <x:v>否</x:v>
      </x:c>
      <x:c r="H35" s="967" t="str">
        <x:v>入库或编辑时</x:v>
      </x:c>
      <x:c r="I35" s="967" t="str">
        <x:v>AI建议/用户维护</x:v>
      </x:c>
      <x:c r="J35" s="967" t="str">
        <x:v>自然语言DTO、评估结果</x:v>
      </x:c>
      <x:c r="K35" s="967" t="str">
        <x:v>asset_version_id</x:v>
      </x:c>
      <x:c r="L35" s="967" t="str">
        <x:v>普通索引</x:v>
      </x:c>
      <x:c r="M35" s="967" t="str">
        <x:v>AssetVersion</x:v>
      </x:c>
      <x:c r="N35" s="967" t="str">
        <x:v>随版本</x:v>
      </x:c>
      <x:c r="O35" s="967" t="str">
        <x:v>P1,[登录,正向]</x:v>
      </x:c>
      <x:c r="P35" s="968" t="str">
        <x:v>AI标签需区分建议与人工确认</x:v>
      </x:c>
    </x:row>
    <x:row r="36" ht="34" customHeight="1">
      <x:c r="A36" s="969" t="n">
        <x:v>2</x:v>
      </x:c>
      <x:c r="B36" s="970" t="str">
        <x:v>自然语言测试资产域</x:v>
      </x:c>
      <x:c r="C36" s="958" t="str">
        <x:v>TestAssetSource</x:v>
      </x:c>
      <x:c r="D36" s="958" t="str">
        <x:v>asset_source_id</x:v>
      </x:c>
      <x:c r="E36" s="958" t="str">
        <x:v>资产来源关系主键</x:v>
      </x:c>
      <x:c r="F36" s="958" t="str">
        <x:v>UUID/字符串</x:v>
      </x:c>
      <x:c r="G36" s="958" t="str">
        <x:v>是</x:v>
      </x:c>
      <x:c r="H36" s="958" t="str">
        <x:v>资产入库时</x:v>
      </x:c>
      <x:c r="I36" s="958" t="str">
        <x:v>资产入库服务</x:v>
      </x:c>
      <x:c r="J36" s="958" t="str">
        <x:v>GenerationContext继承</x:v>
      </x:c>
      <x:c r="K36" s="958" t="str">
        <x:v>test_asset_id、source IDs</x:v>
      </x:c>
      <x:c r="L36" s="958" t="str">
        <x:v>联合唯一防重复</x:v>
      </x:c>
      <x:c r="M36" s="958" t="str">
        <x:v>TestAssetSource</x:v>
      </x:c>
      <x:c r="N36" s="958" t="str">
        <x:v>active</x:v>
      </x:c>
      <x:c r="O36" s="958" t="str">
        <x:v>tas_01H...</x:v>
      </x:c>
      <x:c r="P36" s="959" t="str">
        <x:v>来源关系不可被内容编辑覆盖</x:v>
      </x:c>
    </x:row>
    <x:row r="37" ht="34" customHeight="1">
      <x:c r="A37" s="971" t="n">
        <x:v>2</x:v>
      </x:c>
      <x:c r="B37" s="972" t="str">
        <x:v>自然语言测试资产域</x:v>
      </x:c>
      <x:c r="C37" s="967" t="str">
        <x:v>TestAssetSource</x:v>
      </x:c>
      <x:c r="D37" s="967" t="str">
        <x:v>requirement_id/document_id/section_id/page_id/generation_batch_id</x:v>
      </x:c>
      <x:c r="E37" s="967" t="str">
        <x:v>资产来源维度</x:v>
      </x:c>
      <x:c r="F37" s="967" t="str">
        <x:v>外键集合</x:v>
      </x:c>
      <x:c r="G37" s="967" t="str">
        <x:v>按来源条件必填</x:v>
      </x:c>
      <x:c r="H37" s="967" t="str">
        <x:v>资产入库时</x:v>
      </x:c>
      <x:c r="I37" s="967" t="str">
        <x:v>资产入库服务</x:v>
      </x:c>
      <x:c r="J37" s="967" t="str">
        <x:v>GenerationContext</x:v>
      </x:c>
      <x:c r="K37" s="967" t="str">
        <x:v>各来源实体</x:v>
      </x:c>
      <x:c r="L37" s="967" t="str">
        <x:v>组合索引</x:v>
      </x:c>
      <x:c r="M37" s="967" t="str">
        <x:v>TestAssetSource</x:v>
      </x:c>
      <x:c r="N37" s="967" t="str">
        <x:v>不可变</x:v>
      </x:c>
      <x:c r="O37" s="967" t="str">
        <x:v>req_01/doc_01/sec_01/page_01/gb_01</x:v>
      </x:c>
      <x:c r="P37" s="968" t="str">
        <x:v>一个资产可有多条来源关系</x:v>
      </x:c>
    </x:row>
    <x:row r="38" ht="34" customHeight="1">
      <x:c r="A38" s="969" t="n">
        <x:v>2</x:v>
      </x:c>
      <x:c r="B38" s="970" t="str">
        <x:v>自然语言测试资产域</x:v>
      </x:c>
      <x:c r="C38" s="958" t="str">
        <x:v>AssetFingerprint</x:v>
      </x:c>
      <x:c r="D38" s="958" t="str">
        <x:v>content_fingerprint</x:v>
      </x:c>
      <x:c r="E38" s="958" t="str">
        <x:v>精确重复指纹</x:v>
      </x:c>
      <x:c r="F38" s="958" t="str">
        <x:v>SHA-256字符串</x:v>
      </x:c>
      <x:c r="G38" s="958" t="str">
        <x:v>是</x:v>
      </x:c>
      <x:c r="H38" s="958" t="str">
        <x:v>入库去重前</x:v>
      </x:c>
      <x:c r="I38" s="958" t="str">
        <x:v>去重服务</x:v>
      </x:c>
      <x:c r="J38" s="958" t="str">
        <x:v>标准化自然语言计算</x:v>
      </x:c>
      <x:c r="K38" s="958" t="str">
        <x:v>test_asset_id</x:v>
      </x:c>
      <x:c r="L38" s="958" t="str">
        <x:v>project/scope + fingerprint 索引</x:v>
      </x:c>
      <x:c r="M38" s="958" t="str">
        <x:v>去重服务</x:v>
      </x:c>
      <x:c r="N38" s="958" t="str">
        <x:v>随版本</x:v>
      </x:c>
      <x:c r="O38" s="958" t="str">
        <x:v>sha256:...</x:v>
      </x:c>
      <x:c r="P38" s="959" t="str">
        <x:v>作用域需明确</x:v>
      </x:c>
    </x:row>
    <x:row r="39" ht="34" customHeight="1">
      <x:c r="A39" s="971" t="n">
        <x:v>2</x:v>
      </x:c>
      <x:c r="B39" s="972" t="str">
        <x:v>自然语言测试资产域</x:v>
      </x:c>
      <x:c r="C39" s="967" t="str">
        <x:v>DuplicateRelation</x:v>
      </x:c>
      <x:c r="D39" s="967" t="str">
        <x:v>duplicate_relation_id</x:v>
      </x:c>
      <x:c r="E39" s="967" t="str">
        <x:v>重复关系主键</x:v>
      </x:c>
      <x:c r="F39" s="967" t="str">
        <x:v>UUID/字符串</x:v>
      </x:c>
      <x:c r="G39" s="967" t="str">
        <x:v>否</x:v>
      </x:c>
      <x:c r="H39" s="967" t="str">
        <x:v>发现重复时</x:v>
      </x:c>
      <x:c r="I39" s="967" t="str">
        <x:v>去重服务</x:v>
      </x:c>
      <x:c r="J39" s="967" t="str">
        <x:v>系统生成</x:v>
      </x:c>
      <x:c r="K39" s="967" t="str">
        <x:v>source_asset_id、target_asset_id</x:v>
      </x:c>
      <x:c r="L39" s="967" t="str">
        <x:v>资产对唯一</x:v>
      </x:c>
      <x:c r="M39" s="967" t="str">
        <x:v>DuplicateRelation</x:v>
      </x:c>
      <x:c r="N39" s="967" t="str">
        <x:v>exact/suspected/merged/dismissed</x:v>
      </x:c>
      <x:c r="O39" s="967" t="str">
        <x:v>dup_01H...</x:v>
      </x:c>
      <x:c r="P39" s="968" t="str">
        <x:v>疑似重复仍必须入库</x:v>
      </x:c>
    </x:row>
    <x:row r="40" ht="34" customHeight="1">
      <x:c r="A40" s="969" t="n">
        <x:v>2</x:v>
      </x:c>
      <x:c r="B40" s="970" t="str">
        <x:v>自然语言测试资产域</x:v>
      </x:c>
      <x:c r="C40" s="958" t="str">
        <x:v>DuplicateRelation</x:v>
      </x:c>
      <x:c r="D40" s="958" t="str">
        <x:v>similarity_score</x:v>
      </x:c>
      <x:c r="E40" s="958" t="str">
        <x:v>语义相似度</x:v>
      </x:c>
      <x:c r="F40" s="958" t="str">
        <x:v>小数</x:v>
      </x:c>
      <x:c r="G40" s="958" t="str">
        <x:v>否</x:v>
      </x:c>
      <x:c r="H40" s="958" t="str">
        <x:v>异步语义去重时</x:v>
      </x:c>
      <x:c r="I40" s="958" t="str">
        <x:v>智能评估服务</x:v>
      </x:c>
      <x:c r="J40" s="958" t="str">
        <x:v>向量计算</x:v>
      </x:c>
      <x:c r="K40" s="958" t="str">
        <x:v>重复资产对</x:v>
      </x:c>
      <x:c r="L40" s="958" t="str">
        <x:v>普通索引</x:v>
      </x:c>
      <x:c r="M40" s="958" t="str">
        <x:v>DuplicateRelation</x:v>
      </x:c>
      <x:c r="N40" s="958" t="str">
        <x:v>随算法版本</x:v>
      </x:c>
      <x:c r="O40" s="958" t="str">
        <x:v>0.91</x:v>
      </x:c>
      <x:c r="P40" s="959" t="str">
        <x:v>阈值可配置，不自动删除</x:v>
      </x:c>
    </x:row>
    <x:row r="41" ht="34" customHeight="1">
      <x:c r="A41" s="971" t="n">
        <x:v>2</x:v>
      </x:c>
      <x:c r="B41" s="972" t="str">
        <x:v>自然语言测试资产域</x:v>
      </x:c>
      <x:c r="C41" s="967" t="str">
        <x:v>ReviewRecord</x:v>
      </x:c>
      <x:c r="D41" s="967" t="str">
        <x:v>review_record_id</x:v>
      </x:c>
      <x:c r="E41" s="967" t="str">
        <x:v>内容审核记录主键</x:v>
      </x:c>
      <x:c r="F41" s="967" t="str">
        <x:v>UUID/字符串</x:v>
      </x:c>
      <x:c r="G41" s="967" t="str">
        <x:v>否</x:v>
      </x:c>
      <x:c r="H41" s="967" t="str">
        <x:v>审核操作时</x:v>
      </x:c>
      <x:c r="I41" s="967" t="str">
        <x:v>资产中心</x:v>
      </x:c>
      <x:c r="J41" s="967" t="str">
        <x:v>系统生成</x:v>
      </x:c>
      <x:c r="K41" s="967" t="str">
        <x:v>asset_version_id、user_id</x:v>
      </x:c>
      <x:c r="L41" s="967" t="str">
        <x:v>全局唯一</x:v>
      </x:c>
      <x:c r="M41" s="967" t="str">
        <x:v>ReviewRecord</x:v>
      </x:c>
      <x:c r="N41" s="967" t="str">
        <x:v>approved/rejected</x:v>
      </x:c>
      <x:c r="O41" s="967" t="str">
        <x:v>rev_01H...</x:v>
      </x:c>
      <x:c r="P41" s="968" t="str">
        <x:v>审核必须绑定具体版本</x:v>
      </x:c>
    </x:row>
    <x:row r="42" ht="34" customHeight="1">
      <x:c r="A42" s="969" t="n">
        <x:v>2</x:v>
      </x:c>
      <x:c r="B42" s="970" t="str">
        <x:v>自然语言测试资产域</x:v>
      </x:c>
      <x:c r="C42" s="958" t="str">
        <x:v>TestAsset</x:v>
      </x:c>
      <x:c r="D42" s="958" t="str">
        <x:v>review_status</x:v>
      </x:c>
      <x:c r="E42" s="958" t="str">
        <x:v>当前内容审核状态</x:v>
      </x:c>
      <x:c r="F42" s="958" t="str">
        <x:v>枚举</x:v>
      </x:c>
      <x:c r="G42" s="958" t="str">
        <x:v>是</x:v>
      </x:c>
      <x:c r="H42" s="958" t="str">
        <x:v>首次入库及审核后</x:v>
      </x:c>
      <x:c r="I42" s="958" t="str">
        <x:v>资产服务</x:v>
      </x:c>
      <x:c r="J42" s="958" t="str">
        <x:v>审核记录聚合</x:v>
      </x:c>
      <x:c r="K42" s="958" t="str">
        <x:v>current_version_id</x:v>
      </x:c>
      <x:c r="L42" s="958" t="str">
        <x:v>普通索引</x:v>
      </x:c>
      <x:c r="M42" s="958" t="str">
        <x:v>TestAsset</x:v>
      </x:c>
      <x:c r="N42" s="958" t="str">
        <x:v>pending/approved/rejected</x:v>
      </x:c>
      <x:c r="O42" s="958" t="str">
        <x:v>approved</x:v>
      </x:c>
      <x:c r="P42" s="959" t="str">
        <x:v>与转换状态分离</x:v>
      </x:c>
    </x:row>
    <x:row r="43" ht="34" customHeight="1">
      <x:c r="A43" s="971" t="n">
        <x:v>2</x:v>
      </x:c>
      <x:c r="B43" s="972" t="str">
        <x:v>自然语言测试资产域</x:v>
      </x:c>
      <x:c r="C43" s="967" t="str">
        <x:v>TestAsset</x:v>
      </x:c>
      <x:c r="D43" s="967" t="str">
        <x:v>conversion_status</x:v>
      </x:c>
      <x:c r="E43" s="967" t="str">
        <x:v>当前技术转换状态</x:v>
      </x:c>
      <x:c r="F43" s="967" t="str">
        <x:v>枚举</x:v>
      </x:c>
      <x:c r="G43" s="967" t="str">
        <x:v>是</x:v>
      </x:c>
      <x:c r="H43" s="967" t="str">
        <x:v>首次入库及转换后</x:v>
      </x:c>
      <x:c r="I43" s="967" t="str">
        <x:v>转换服务</x:v>
      </x:c>
      <x:c r="J43" s="967" t="str">
        <x:v>ConversionAttempt聚合</x:v>
      </x:c>
      <x:c r="K43" s="967" t="str">
        <x:v>test_asset_id</x:v>
      </x:c>
      <x:c r="L43" s="967" t="str">
        <x:v>普通索引</x:v>
      </x:c>
      <x:c r="M43" s="967" t="str">
        <x:v>TestAsset</x:v>
      </x:c>
      <x:c r="N43" s="967" t="str">
        <x:v>not_started/processing/blocked/succeeded/stale</x:v>
      </x:c>
      <x:c r="O43" s="967" t="str">
        <x:v>blocked</x:v>
      </x:c>
      <x:c r="P43" s="968" t="str">
        <x:v>approved可同时blocked</x:v>
      </x:c>
    </x:row>
    <x:row r="44" ht="34" customHeight="1">
      <x:c r="A44" s="969" t="n">
        <x:v>2</x:v>
      </x:c>
      <x:c r="B44" s="970" t="str">
        <x:v>自然语言测试资产域</x:v>
      </x:c>
      <x:c r="C44" s="958" t="str">
        <x:v>PrescreenResult</x:v>
      </x:c>
      <x:c r="D44" s="958" t="str">
        <x:v>prescreen_result_id</x:v>
      </x:c>
      <x:c r="E44" s="958" t="str">
        <x:v>异步智能评估结果主键</x:v>
      </x:c>
      <x:c r="F44" s="958" t="str">
        <x:v>UUID/字符串</x:v>
      </x:c>
      <x:c r="G44" s="958" t="str">
        <x:v>否</x:v>
      </x:c>
      <x:c r="H44" s="958" t="str">
        <x:v>资产入库后</x:v>
      </x:c>
      <x:c r="I44" s="958" t="str">
        <x:v>智能评估服务</x:v>
      </x:c>
      <x:c r="J44" s="958" t="str">
        <x:v>系统生成</x:v>
      </x:c>
      <x:c r="K44" s="958" t="str">
        <x:v>asset_version_id、model_run_id</x:v>
      </x:c>
      <x:c r="L44" s="958" t="str">
        <x:v>版本内唯一</x:v>
      </x:c>
      <x:c r="M44" s="958" t="str">
        <x:v>PrescreenResult</x:v>
      </x:c>
      <x:c r="N44" s="958" t="str">
        <x:v>queued/succeeded/failed</x:v>
      </x:c>
      <x:c r="O44" s="958" t="str">
        <x:v>ps_01H...</x:v>
      </x:c>
      <x:c r="P44" s="959" t="str">
        <x:v>失败不影响资产</x:v>
      </x:c>
    </x:row>
    <x:row r="45" ht="34" customHeight="1">
      <x:c r="A45" s="976" t="n">
        <x:v>3</x:v>
      </x:c>
      <x:c r="B45" s="977" t="str">
        <x:v>Asset-to-Case 转换与统一拦截域</x:v>
      </x:c>
      <x:c r="C45" s="958" t="str">
        <x:v>ConversionAttempt</x:v>
      </x:c>
      <x:c r="D45" s="958" t="str">
        <x:v>conversion_attempt_id</x:v>
      </x:c>
      <x:c r="E45" s="958" t="str">
        <x:v>一次转换尝试主键</x:v>
      </x:c>
      <x:c r="F45" s="958" t="str">
        <x:v>UUID/字符串</x:v>
      </x:c>
      <x:c r="G45" s="958" t="str">
        <x:v>是</x:v>
      </x:c>
      <x:c r="H45" s="958" t="str">
        <x:v>用户发起转换时</x:v>
      </x:c>
      <x:c r="I45" s="958" t="str">
        <x:v>转换服务</x:v>
      </x:c>
      <x:c r="J45" s="958" t="str">
        <x:v>系统生成</x:v>
      </x:c>
      <x:c r="K45" s="958" t="str">
        <x:v>asset_id/version/environment</x:v>
      </x:c>
      <x:c r="L45" s="958" t="str">
        <x:v>全局唯一</x:v>
      </x:c>
      <x:c r="M45" s="958" t="str">
        <x:v>ConversionAttempt</x:v>
      </x:c>
      <x:c r="N45" s="958" t="str">
        <x:v>queued/analyzing/resolving/validating/compiling/succeeded/blocked/failed</x:v>
      </x:c>
      <x:c r="O45" s="958" t="str">
        <x:v>ca_01H...</x:v>
      </x:c>
      <x:c r="P45" s="959" t="str">
        <x:v>每次重试产生新attempt</x:v>
      </x:c>
    </x:row>
    <x:row r="46" ht="34" customHeight="1">
      <x:c r="A46" s="978" t="n">
        <x:v>3</x:v>
      </x:c>
      <x:c r="B46" s="979" t="str">
        <x:v>Asset-to-Case 转换与统一拦截域</x:v>
      </x:c>
      <x:c r="C46" s="974" t="str">
        <x:v>ConversionAttempt</x:v>
      </x:c>
      <x:c r="D46" s="974" t="str">
        <x:v>source_asset_id/source_asset_version_id</x:v>
      </x:c>
      <x:c r="E46" s="974" t="str">
        <x:v>转换使用的资产及版本</x:v>
      </x:c>
      <x:c r="F46" s="974" t="str">
        <x:v>外键</x:v>
      </x:c>
      <x:c r="G46" s="974" t="str">
        <x:v>是</x:v>
      </x:c>
      <x:c r="H46" s="974" t="str">
        <x:v>创建attempt时</x:v>
      </x:c>
      <x:c r="I46" s="974" t="str">
        <x:v>转换服务</x:v>
      </x:c>
      <x:c r="J46" s="974" t="str">
        <x:v>请求参数+校验</x:v>
      </x:c>
      <x:c r="K46" s="974" t="str">
        <x:v>TestAsset/AssetVersion</x:v>
      </x:c>
      <x:c r="L46" s="974" t="str">
        <x:v>组合索引</x:v>
      </x:c>
      <x:c r="M46" s="974" t="str">
        <x:v>ConversionAttempt</x:v>
      </x:c>
      <x:c r="N46" s="974" t="str">
        <x:v>不可变</x:v>
      </x:c>
      <x:c r="O46" s="974" t="str">
        <x:v>ta_01/tav_03</x:v>
      </x:c>
      <x:c r="P46" s="975" t="str">
        <x:v>转换过程中不得漂移到新版本</x:v>
      </x:c>
    </x:row>
    <x:row r="47" ht="34" customHeight="1">
      <x:c r="A47" s="976" t="n">
        <x:v>3</x:v>
      </x:c>
      <x:c r="B47" s="977" t="str">
        <x:v>Asset-to-Case 转换与统一拦截域</x:v>
      </x:c>
      <x:c r="C47" s="958" t="str">
        <x:v>ConversionAttempt</x:v>
      </x:c>
      <x:c r="D47" s="958" t="str">
        <x:v>environment_id</x:v>
      </x:c>
      <x:c r="E47" s="958" t="str">
        <x:v>目标执行环境</x:v>
      </x:c>
      <x:c r="F47" s="958" t="str">
        <x:v>外键</x:v>
      </x:c>
      <x:c r="G47" s="958" t="str">
        <x:v>是</x:v>
      </x:c>
      <x:c r="H47" s="958" t="str">
        <x:v>发起转换或资源编排时</x:v>
      </x:c>
      <x:c r="I47" s="958" t="str">
        <x:v>用户/策略/转换服务</x:v>
      </x:c>
      <x:c r="J47" s="958" t="str">
        <x:v>请求参数或默认策略</x:v>
      </x:c>
      <x:c r="K47" s="958" t="str">
        <x:v>Environment</x:v>
      </x:c>
      <x:c r="L47" s="958" t="str">
        <x:v>普通索引</x:v>
      </x:c>
      <x:c r="M47" s="958" t="str">
        <x:v>ConversionAttempt</x:v>
      </x:c>
      <x:c r="N47" s="958" t="str">
        <x:v>不可变快照</x:v>
      </x:c>
      <x:c r="O47" s="958" t="str">
        <x:v>env_staging</x:v>
      </x:c>
      <x:c r="P47" s="959" t="str">
        <x:v>禁止隐式使用生产环境</x:v>
      </x:c>
    </x:row>
    <x:row r="48" ht="34" customHeight="1">
      <x:c r="A48" s="978" t="n">
        <x:v>3</x:v>
      </x:c>
      <x:c r="B48" s="979" t="str">
        <x:v>Asset-to-Case 转换与统一拦截域</x:v>
      </x:c>
      <x:c r="C48" s="974" t="str">
        <x:v>ExecutionRequirementManifest</x:v>
      </x:c>
      <x:c r="D48" s="974" t="str">
        <x:v>manifest_id</x:v>
      </x:c>
      <x:c r="E48" s="974" t="str">
        <x:v>执行需求清单主键</x:v>
      </x:c>
      <x:c r="F48" s="974" t="str">
        <x:v>UUID/字符串</x:v>
      </x:c>
      <x:c r="G48" s="974" t="str">
        <x:v>是</x:v>
      </x:c>
      <x:c r="H48" s="974" t="str">
        <x:v>需求分析完成时</x:v>
      </x:c>
      <x:c r="I48" s="974" t="str">
        <x:v>转换分析器</x:v>
      </x:c>
      <x:c r="J48" s="974" t="str">
        <x:v>系统生成</x:v>
      </x:c>
      <x:c r="K48" s="974" t="str">
        <x:v>conversion_attempt_id</x:v>
      </x:c>
      <x:c r="L48" s="974" t="str">
        <x:v>一attempt可多版本但仅一active</x:v>
      </x:c>
      <x:c r="M48" s="974" t="str">
        <x:v>ConversionAttempt内持久化</x:v>
      </x:c>
      <x:c r="N48" s="974" t="str">
        <x:v>draft/validated</x:v>
      </x:c>
      <x:c r="O48" s="974" t="str">
        <x:v>erm_01H...</x:v>
      </x:c>
      <x:c r="P48" s="975" t="str">
        <x:v>只是需求声明，不是绑定计划</x:v>
      </x:c>
    </x:row>
    <x:row r="49" ht="34" customHeight="1">
      <x:c r="A49" s="976" t="n">
        <x:v>3</x:v>
      </x:c>
      <x:c r="B49" s="977" t="str">
        <x:v>Asset-to-Case 转换与统一拦截域</x:v>
      </x:c>
      <x:c r="C49" s="958" t="str">
        <x:v>ExecutionRequirementManifest</x:v>
      </x:c>
      <x:c r="D49" s="958" t="str">
        <x:v>manifest_schema_version</x:v>
      </x:c>
      <x:c r="E49" s="958" t="str">
        <x:v>Manifest契约版本</x:v>
      </x:c>
      <x:c r="F49" s="958" t="str">
        <x:v>字符串</x:v>
      </x:c>
      <x:c r="G49" s="958" t="str">
        <x:v>是</x:v>
      </x:c>
      <x:c r="H49" s="958" t="str">
        <x:v>生成Manifest时</x:v>
      </x:c>
      <x:c r="I49" s="958" t="str">
        <x:v>Schema Registry</x:v>
      </x:c>
      <x:c r="J49" s="958" t="str">
        <x:v>固定版本</x:v>
      </x:c>
      <x:c r="K49" s="958" t="str">
        <x:v>manifest_id</x:v>
      </x:c>
      <x:c r="L49" s="958" t="str">
        <x:v>普通索引</x:v>
      </x:c>
      <x:c r="M49" s="958" t="str">
        <x:v>Manifest Schema</x:v>
      </x:c>
      <x:c r="N49" s="958" t="str">
        <x:v>published/retired</x:v>
      </x:c>
      <x:c r="O49" s="958" t="str">
        <x:v>erm.v1</x:v>
      </x:c>
      <x:c r="P49" s="959" t="str">
        <x:v>必须向后兼容</x:v>
      </x:c>
    </x:row>
    <x:row r="50" ht="34" customHeight="1">
      <x:c r="A50" s="978" t="n">
        <x:v>3</x:v>
      </x:c>
      <x:c r="B50" s="979" t="str">
        <x:v>Asset-to-Case 转换与统一拦截域</x:v>
      </x:c>
      <x:c r="C50" s="974" t="str">
        <x:v>ExecutionRequirementManifest</x:v>
      </x:c>
      <x:c r="D50" s="974" t="str">
        <x:v>scenario_types</x:v>
      </x:c>
      <x:c r="E50" s="974" t="str">
        <x:v>场景分类集合</x:v>
      </x:c>
      <x:c r="F50" s="974" t="str">
        <x:v>枚举数组</x:v>
      </x:c>
      <x:c r="G50" s="974" t="str">
        <x:v>是</x:v>
      </x:c>
      <x:c r="H50" s="974" t="str">
        <x:v>场景识别时</x:v>
      </x:c>
      <x:c r="I50" s="974" t="str">
        <x:v>场景分类器</x:v>
      </x:c>
      <x:c r="J50" s="974" t="str">
        <x:v>资产自然语言分析</x:v>
      </x:c>
      <x:c r="K50" s="974" t="str">
        <x:v>manifest_id</x:v>
      </x:c>
      <x:c r="L50" s="974" t="str">
        <x:v>普通索引</x:v>
      </x:c>
      <x:c r="M50" s="974" t="str">
        <x:v>Manifest</x:v>
      </x:c>
      <x:c r="N50" s="974" t="str">
        <x:v>随attempt</x:v>
      </x:c>
      <x:c r="O50" s="974" t="str">
        <x:v>[functional,negative]</x:v>
      </x:c>
      <x:c r="P50" s="975" t="str">
        <x:v>支持多标签</x:v>
      </x:c>
    </x:row>
    <x:row r="51" ht="34" customHeight="1">
      <x:c r="A51" s="976" t="n">
        <x:v>3</x:v>
      </x:c>
      <x:c r="B51" s="977" t="str">
        <x:v>Asset-to-Case 转换与统一拦截域</x:v>
      </x:c>
      <x:c r="C51" s="958" t="str">
        <x:v>ExecutionRequirementManifest</x:v>
      </x:c>
      <x:c r="D51" s="958" t="str">
        <x:v>required_resources</x:v>
      </x:c>
      <x:c r="E51" s="958" t="str">
        <x:v>资源需求数组</x:v>
      </x:c>
      <x:c r="F51" s="958" t="str">
        <x:v>JSON/子表</x:v>
      </x:c>
      <x:c r="G51" s="958" t="str">
        <x:v>是</x:v>
      </x:c>
      <x:c r="H51" s="958" t="str">
        <x:v>需求分析时</x:v>
      </x:c>
      <x:c r="I51" s="958" t="str">
        <x:v>资源需求分析器</x:v>
      </x:c>
      <x:c r="J51" s="958" t="str">
        <x:v>资产自然语言</x:v>
      </x:c>
      <x:c r="K51" s="958" t="str">
        <x:v>ResourceGateway</x:v>
      </x:c>
      <x:c r="L51" s="958" t="str">
        <x:v>子表索引</x:v>
      </x:c>
      <x:c r="M51" s="958" t="str">
        <x:v>Manifest</x:v>
      </x:c>
      <x:c r="N51" s="958" t="str">
        <x:v>随attempt</x:v>
      </x:c>
      <x:c r="O51" s="958" t="str">
        <x:v>page_element/test_data</x:v>
      </x:c>
      <x:c r="P51" s="959" t="str">
        <x:v>不能包含真实密码</x:v>
      </x:c>
    </x:row>
    <x:row r="52" ht="34" customHeight="1">
      <x:c r="A52" s="978" t="n">
        <x:v>3</x:v>
      </x:c>
      <x:c r="B52" s="979" t="str">
        <x:v>Asset-to-Case 转换与统一拦截域</x:v>
      </x:c>
      <x:c r="C52" s="974" t="str">
        <x:v>ResourceBinding</x:v>
      </x:c>
      <x:c r="D52" s="974" t="str">
        <x:v>resource_binding_id</x:v>
      </x:c>
      <x:c r="E52" s="974" t="str">
        <x:v>一次资源绑定主键</x:v>
      </x:c>
      <x:c r="F52" s="974" t="str">
        <x:v>UUID/字符串</x:v>
      </x:c>
      <x:c r="G52" s="974" t="str">
        <x:v>是</x:v>
      </x:c>
      <x:c r="H52" s="974" t="str">
        <x:v>资源编排时</x:v>
      </x:c>
      <x:c r="I52" s="974" t="str">
        <x:v>资源编排器</x:v>
      </x:c>
      <x:c r="J52" s="974" t="str">
        <x:v>系统生成</x:v>
      </x:c>
      <x:c r="K52" s="974" t="str">
        <x:v>attempt/resource_id/version</x:v>
      </x:c>
      <x:c r="L52" s="974" t="str">
        <x:v>联合唯一</x:v>
      </x:c>
      <x:c r="M52" s="974" t="str">
        <x:v>ConversionAttempt</x:v>
      </x:c>
      <x:c r="N52" s="974" t="str">
        <x:v>resolved/unresolved/conflicted</x:v>
      </x:c>
      <x:c r="O52" s="974" t="str">
        <x:v>rb_01H...</x:v>
      </x:c>
      <x:c r="P52" s="975" t="str">
        <x:v>所有绑定必须含版本</x:v>
      </x:c>
    </x:row>
    <x:row r="53" ht="34" customHeight="1">
      <x:c r="A53" s="976" t="n">
        <x:v>3</x:v>
      </x:c>
      <x:c r="B53" s="977" t="str">
        <x:v>Asset-to-Case 转换与统一拦截域</x:v>
      </x:c>
      <x:c r="C53" s="958" t="str">
        <x:v>BoundExecutionPlan</x:v>
      </x:c>
      <x:c r="D53" s="958" t="str">
        <x:v>bound_plan_id</x:v>
      </x:c>
      <x:c r="E53" s="958" t="str">
        <x:v>绑定执行计划主键</x:v>
      </x:c>
      <x:c r="F53" s="958" t="str">
        <x:v>UUID/字符串</x:v>
      </x:c>
      <x:c r="G53" s="958" t="str">
        <x:v>是</x:v>
      </x:c>
      <x:c r="H53" s="958" t="str">
        <x:v>资源绑定完成后</x:v>
      </x:c>
      <x:c r="I53" s="958" t="str">
        <x:v>计划组装器</x:v>
      </x:c>
      <x:c r="J53" s="958" t="str">
        <x:v>系统生成</x:v>
      </x:c>
      <x:c r="K53" s="958" t="str">
        <x:v>conversion_attempt_id</x:v>
      </x:c>
      <x:c r="L53" s="958" t="str">
        <x:v>全局唯一</x:v>
      </x:c>
      <x:c r="M53" s="958" t="str">
        <x:v>ConversionAttempt内持久化</x:v>
      </x:c>
      <x:c r="N53" s="958" t="str">
        <x:v>draft/validated</x:v>
      </x:c>
      <x:c r="O53" s="958" t="str">
        <x:v>bep_01H...</x:v>
      </x:c>
      <x:c r="P53" s="959" t="str">
        <x:v>编译前权威中间契约</x:v>
      </x:c>
    </x:row>
    <x:row r="54" ht="34" customHeight="1">
      <x:c r="A54" s="978" t="n">
        <x:v>3</x:v>
      </x:c>
      <x:c r="B54" s="979" t="str">
        <x:v>Asset-to-Case 转换与统一拦截域</x:v>
      </x:c>
      <x:c r="C54" s="974" t="str">
        <x:v>BoundExecutionPlan</x:v>
      </x:c>
      <x:c r="D54" s="974" t="str">
        <x:v>plan_schema_version</x:v>
      </x:c>
      <x:c r="E54" s="974" t="str">
        <x:v>执行计划契约版本</x:v>
      </x:c>
      <x:c r="F54" s="974" t="str">
        <x:v>字符串</x:v>
      </x:c>
      <x:c r="G54" s="974" t="str">
        <x:v>是</x:v>
      </x:c>
      <x:c r="H54" s="974" t="str">
        <x:v>计划生成时</x:v>
      </x:c>
      <x:c r="I54" s="974" t="str">
        <x:v>Schema Registry</x:v>
      </x:c>
      <x:c r="J54" s="974" t="str">
        <x:v>固定版本</x:v>
      </x:c>
      <x:c r="K54" s="974" t="str">
        <x:v>bound_plan_id</x:v>
      </x:c>
      <x:c r="L54" s="974" t="str">
        <x:v>普通索引</x:v>
      </x:c>
      <x:c r="M54" s="974" t="str">
        <x:v>Bound Plan Schema</x:v>
      </x:c>
      <x:c r="N54" s="974" t="str">
        <x:v>published/retired</x:v>
      </x:c>
      <x:c r="O54" s="974" t="str">
        <x:v>bep.v1</x:v>
      </x:c>
      <x:c r="P54" s="975" t="str">
        <x:v>Compiler按版本解析</x:v>
      </x:c>
    </x:row>
    <x:row r="55" ht="34" customHeight="1">
      <x:c r="A55" s="976" t="n">
        <x:v>3</x:v>
      </x:c>
      <x:c r="B55" s="977" t="str">
        <x:v>Asset-to-Case 转换与统一拦截域</x:v>
      </x:c>
      <x:c r="C55" s="958" t="str">
        <x:v>BoundExecutionPlan</x:v>
      </x:c>
      <x:c r="D55" s="958" t="str">
        <x:v>setup/data_bindings/environment/steps/assertions/cleanup</x:v>
      </x:c>
      <x:c r="E55" s="958" t="str">
        <x:v>完整绑定计划</x:v>
      </x:c>
      <x:c r="F55" s="958" t="str">
        <x:v>JSON/子表</x:v>
      </x:c>
      <x:c r="G55" s="958" t="str">
        <x:v>是</x:v>
      </x:c>
      <x:c r="H55" s="958" t="str">
        <x:v>计划组装时</x:v>
      </x:c>
      <x:c r="I55" s="958" t="str">
        <x:v>计划组装器</x:v>
      </x:c>
      <x:c r="J55" s="958" t="str">
        <x:v>Manifest+Bindings</x:v>
      </x:c>
      <x:c r="K55" s="958" t="str">
        <x:v>Compiler</x:v>
      </x:c>
      <x:c r="L55" s="958" t="str">
        <x:v>结构化校验</x:v>
      </x:c>
      <x:c r="M55" s="958" t="str">
        <x:v>BoundExecutionPlan</x:v>
      </x:c>
      <x:c r="N55" s="958" t="str">
        <x:v>随attempt</x:v>
      </x:c>
      <x:c r="O55" s="958" t="str">
        <x:v>完整执行计划</x:v>
      </x:c>
      <x:c r="P55" s="959" t="str">
        <x:v>必须包含cleanup策略</x:v>
      </x:c>
    </x:row>
    <x:row r="56" ht="34" customHeight="1">
      <x:c r="A56" s="978" t="n">
        <x:v>3</x:v>
      </x:c>
      <x:c r="B56" s="979" t="str">
        <x:v>Asset-to-Case 转换与统一拦截域</x:v>
      </x:c>
      <x:c r="C56" s="974" t="str">
        <x:v>PlanVariant</x:v>
      </x:c>
      <x:c r="D56" s="974" t="str">
        <x:v>plan_variant_id</x:v>
      </x:c>
      <x:c r="E56" s="974" t="str">
        <x:v>矩阵展开后的计划变体主键</x:v>
      </x:c>
      <x:c r="F56" s="974" t="str">
        <x:v>UUID/字符串</x:v>
      </x:c>
      <x:c r="G56" s="974" t="str">
        <x:v>否</x:v>
      </x:c>
      <x:c r="H56" s="974" t="str">
        <x:v>矩阵展开时</x:v>
      </x:c>
      <x:c r="I56" s="974" t="str">
        <x:v>矩阵展开器</x:v>
      </x:c>
      <x:c r="J56" s="974" t="str">
        <x:v>系统生成</x:v>
      </x:c>
      <x:c r="K56" s="974" t="str">
        <x:v>bound_plan_id</x:v>
      </x:c>
      <x:c r="L56" s="974" t="str">
        <x:v>全局唯一</x:v>
      </x:c>
      <x:c r="M56" s="974" t="str">
        <x:v>ConversionAttempt</x:v>
      </x:c>
      <x:c r="N56" s="974" t="str">
        <x:v>generated/validated</x:v>
      </x:c>
      <x:c r="O56" s="974" t="str">
        <x:v>pv_01H...</x:v>
      </x:c>
      <x:c r="P56" s="975" t="str">
        <x:v>限制组合数量</x:v>
      </x:c>
    </x:row>
    <x:row r="57" ht="34" customHeight="1">
      <x:c r="A57" s="976" t="n">
        <x:v>3</x:v>
      </x:c>
      <x:c r="B57" s="977" t="str">
        <x:v>Asset-to-Case 转换与统一拦截域</x:v>
      </x:c>
      <x:c r="C57" s="958" t="str">
        <x:v>ConversionError</x:v>
      </x:c>
      <x:c r="D57" s="958" t="str">
        <x:v>conversion_error_id</x:v>
      </x:c>
      <x:c r="E57" s="958" t="str">
        <x:v>结构化转换错误主键</x:v>
      </x:c>
      <x:c r="F57" s="958" t="str">
        <x:v>UUID/字符串</x:v>
      </x:c>
      <x:c r="G57" s="958" t="str">
        <x:v>否</x:v>
      </x:c>
      <x:c r="H57" s="958" t="str">
        <x:v>任一转换阶段失败时</x:v>
      </x:c>
      <x:c r="I57" s="958" t="str">
        <x:v>对应转换模块</x:v>
      </x:c>
      <x:c r="J57" s="958" t="str">
        <x:v>系统生成</x:v>
      </x:c>
      <x:c r="K57" s="958" t="str">
        <x:v>conversion_attempt_id</x:v>
      </x:c>
      <x:c r="L57" s="958" t="str">
        <x:v>全局唯一</x:v>
      </x:c>
      <x:c r="M57" s="958" t="str">
        <x:v>ConversionAttempt</x:v>
      </x:c>
      <x:c r="N57" s="958" t="str">
        <x:v>open/resolved/ignored</x:v>
      </x:c>
      <x:c r="O57" s="958" t="str">
        <x:v>ce_01H...</x:v>
      </x:c>
      <x:c r="P57" s="959" t="str">
        <x:v>不得只保存字符串</x:v>
      </x:c>
    </x:row>
    <x:row r="58" ht="34" customHeight="1">
      <x:c r="A58" s="978" t="n">
        <x:v>3</x:v>
      </x:c>
      <x:c r="B58" s="979" t="str">
        <x:v>Asset-to-Case 转换与统一拦截域</x:v>
      </x:c>
      <x:c r="C58" s="974" t="str">
        <x:v>ConversionError</x:v>
      </x:c>
      <x:c r="D58" s="974" t="str">
        <x:v>code/stage/step_index/resource_type/fix_hint</x:v>
      </x:c>
      <x:c r="E58" s="974" t="str">
        <x:v>错误定位字段</x:v>
      </x:c>
      <x:c r="F58" s="974" t="str">
        <x:v>枚举/文本</x:v>
      </x:c>
      <x:c r="G58" s="974" t="str">
        <x:v>条件必填</x:v>
      </x:c>
      <x:c r="H58" s="974" t="str">
        <x:v>错误产生时</x:v>
      </x:c>
      <x:c r="I58" s="974" t="str">
        <x:v>转换模块</x:v>
      </x:c>
      <x:c r="J58" s="974" t="str">
        <x:v>异常上下文</x:v>
      </x:c>
      <x:c r="K58" s="974" t="str">
        <x:v>资产中心/资源中心</x:v>
      </x:c>
      <x:c r="L58" s="974" t="str">
        <x:v>普通索引</x:v>
      </x:c>
      <x:c r="M58" s="974" t="str">
        <x:v>ConversionError</x:v>
      </x:c>
      <x:c r="N58" s="974" t="str">
        <x:v>随attempt</x:v>
      </x:c>
      <x:c r="O58" s="974" t="str">
        <x:v>element_ambiguous/resource_resolution/2</x:v>
      </x:c>
      <x:c r="P58" s="975" t="str">
        <x:v>支持前端定点修复</x:v>
      </x:c>
    </x:row>
    <x:row r="59" ht="34" customHeight="1">
      <x:c r="A59" s="976" t="n">
        <x:v>3</x:v>
      </x:c>
      <x:c r="B59" s="977" t="str">
        <x:v>Asset-to-Case 转换与统一拦截域</x:v>
      </x:c>
      <x:c r="C59" s="958" t="str">
        <x:v>CompilerRegistry</x:v>
      </x:c>
      <x:c r="D59" s="958" t="str">
        <x:v>compiler_id/compiler_version</x:v>
      </x:c>
      <x:c r="E59" s="958" t="str">
        <x:v>编译器身份和版本</x:v>
      </x:c>
      <x:c r="F59" s="958" t="str">
        <x:v>字符串</x:v>
      </x:c>
      <x:c r="G59" s="958" t="str">
        <x:v>是</x:v>
      </x:c>
      <x:c r="H59" s="958" t="str">
        <x:v>编译器注册时</x:v>
      </x:c>
      <x:c r="I59" s="958" t="str">
        <x:v>平台维护</x:v>
      </x:c>
      <x:c r="J59" s="958" t="str">
        <x:v>注册配置</x:v>
      </x:c>
      <x:c r="K59" s="958" t="str">
        <x:v>runner_type/plan schema</x:v>
      </x:c>
      <x:c r="L59" s="958" t="str">
        <x:v>组合唯一</x:v>
      </x:c>
      <x:c r="M59" s="958" t="str">
        <x:v>Compiler Registry</x:v>
      </x:c>
      <x:c r="N59" s="958" t="str">
        <x:v>active/deprecated</x:v>
      </x:c>
      <x:c r="O59" s="958" t="str">
        <x:v>playwright.v2</x:v>
      </x:c>
      <x:c r="P59" s="959" t="str">
        <x:v>生成TestCase时必须记录</x:v>
      </x:c>
    </x:row>
    <x:row r="60" ht="34" customHeight="1">
      <x:c r="A60" s="978" t="n">
        <x:v>3</x:v>
      </x:c>
      <x:c r="B60" s="979" t="str">
        <x:v>Asset-to-Case 转换与统一拦截域</x:v>
      </x:c>
      <x:c r="C60" s="974" t="str">
        <x:v>CaseBuildResult</x:v>
      </x:c>
      <x:c r="D60" s="974" t="str">
        <x:v>generated_case_ids</x:v>
      </x:c>
      <x:c r="E60" s="974" t="str">
        <x:v>本次转换生成的用例集合</x:v>
      </x:c>
      <x:c r="F60" s="974" t="str">
        <x:v>ID数组/关联表</x:v>
      </x:c>
      <x:c r="G60" s="974" t="str">
        <x:v>成功时必填</x:v>
      </x:c>
      <x:c r="H60" s="974" t="str">
        <x:v>Case Builder成功后</x:v>
      </x:c>
      <x:c r="I60" s="974" t="str">
        <x:v>用例生成服务</x:v>
      </x:c>
      <x:c r="J60" s="974" t="str">
        <x:v>TestCase主键</x:v>
      </x:c>
      <x:c r="K60" s="974" t="str">
        <x:v>ConversionAttempt</x:v>
      </x:c>
      <x:c r="L60" s="974" t="str">
        <x:v>关联表索引</x:v>
      </x:c>
      <x:c r="M60" s="974" t="str">
        <x:v>ConversionAttempt</x:v>
      </x:c>
      <x:c r="N60" s="974" t="str">
        <x:v>succeeded</x:v>
      </x:c>
      <x:c r="O60" s="974" t="str">
        <x:v>[tc_01,tc_02]</x:v>
      </x:c>
      <x:c r="P60" s="975" t="str">
        <x:v>一资产可生成多用例</x:v>
      </x:c>
    </x:row>
    <x:row r="61" ht="34" customHeight="1">
      <x:c r="A61" s="983" t="n">
        <x:v>4</x:v>
      </x:c>
      <x:c r="B61" s="984" t="str">
        <x:v>公共资源与能力域</x:v>
      </x:c>
      <x:c r="C61" s="958" t="str">
        <x:v>ResourceDescriptor</x:v>
      </x:c>
      <x:c r="D61" s="958" t="str">
        <x:v>resource_id</x:v>
      </x:c>
      <x:c r="E61" s="958" t="str">
        <x:v>统一资源主键</x:v>
      </x:c>
      <x:c r="F61" s="958" t="str">
        <x:v>UUID/字符串</x:v>
      </x:c>
      <x:c r="G61" s="958" t="str">
        <x:v>是</x:v>
      </x:c>
      <x:c r="H61" s="958" t="str">
        <x:v>资源创建时</x:v>
      </x:c>
      <x:c r="I61" s="958" t="str">
        <x:v>各资源中心</x:v>
      </x:c>
      <x:c r="J61" s="958" t="str">
        <x:v>系统生成</x:v>
      </x:c>
      <x:c r="K61" s="958" t="str">
        <x:v>resource_type/project_id</x:v>
      </x:c>
      <x:c r="L61" s="958" t="str">
        <x:v>全局唯一</x:v>
      </x:c>
      <x:c r="M61" s="958" t="str">
        <x:v>各资源中心</x:v>
      </x:c>
      <x:c r="N61" s="958" t="str">
        <x:v>active/deprecated/disabled</x:v>
      </x:c>
      <x:c r="O61" s="958" t="str">
        <x:v>res_01H...</x:v>
      </x:c>
      <x:c r="P61" s="959" t="str">
        <x:v>资源网关统一使用</x:v>
      </x:c>
    </x:row>
    <x:row r="62" ht="34" customHeight="1">
      <x:c r="A62" s="985" t="n">
        <x:v>4</x:v>
      </x:c>
      <x:c r="B62" s="986" t="str">
        <x:v>公共资源与能力域</x:v>
      </x:c>
      <x:c r="C62" s="981" t="str">
        <x:v>ResourceDescriptor</x:v>
      </x:c>
      <x:c r="D62" s="981" t="str">
        <x:v>resource_type</x:v>
      </x:c>
      <x:c r="E62" s="981" t="str">
        <x:v>资源类型</x:v>
      </x:c>
      <x:c r="F62" s="981" t="str">
        <x:v>枚举</x:v>
      </x:c>
      <x:c r="G62" s="981" t="str">
        <x:v>是</x:v>
      </x:c>
      <x:c r="H62" s="981" t="str">
        <x:v>资源创建时</x:v>
      </x:c>
      <x:c r="I62" s="981" t="str">
        <x:v>各资源中心</x:v>
      </x:c>
      <x:c r="J62" s="981" t="str">
        <x:v>系统定义</x:v>
      </x:c>
      <x:c r="K62" s="981" t="str">
        <x:v>ResourceGateway</x:v>
      </x:c>
      <x:c r="L62" s="981" t="str">
        <x:v>普通索引</x:v>
      </x:c>
      <x:c r="M62" s="981" t="str">
        <x:v>Resource Registry</x:v>
      </x:c>
      <x:c r="N62" s="981" t="str">
        <x:v>page/data/environment/...</x:v>
      </x:c>
      <x:c r="O62" s="981" t="str">
        <x:v>page_element</x:v>
      </x:c>
      <x:c r="P62" s="982" t="str">
        <x:v>禁止任意字符串扩展</x:v>
      </x:c>
    </x:row>
    <x:row r="63" ht="34" customHeight="1">
      <x:c r="A63" s="983" t="n">
        <x:v>4</x:v>
      </x:c>
      <x:c r="B63" s="984" t="str">
        <x:v>公共资源与能力域</x:v>
      </x:c>
      <x:c r="C63" s="958" t="str">
        <x:v>ResourceDescriptor</x:v>
      </x:c>
      <x:c r="D63" s="958" t="str">
        <x:v>resource_version</x:v>
      </x:c>
      <x:c r="E63" s="958" t="str">
        <x:v>资源版本</x:v>
      </x:c>
      <x:c r="F63" s="958" t="str">
        <x:v>整数/字符串</x:v>
      </x:c>
      <x:c r="G63" s="958" t="str">
        <x:v>是</x:v>
      </x:c>
      <x:c r="H63" s="958" t="str">
        <x:v>资源发布时</x:v>
      </x:c>
      <x:c r="I63" s="958" t="str">
        <x:v>各资源中心</x:v>
      </x:c>
      <x:c r="J63" s="958" t="str">
        <x:v>自动递增/语义版本</x:v>
      </x:c>
      <x:c r="K63" s="958" t="str">
        <x:v>resource_id</x:v>
      </x:c>
      <x:c r="L63" s="958" t="str">
        <x:v>resource_id + version 唯一</x:v>
      </x:c>
      <x:c r="M63" s="958" t="str">
        <x:v>ResourceVersion</x:v>
      </x:c>
      <x:c r="N63" s="958" t="str">
        <x:v>draft/published/retired</x:v>
      </x:c>
      <x:c r="O63" s="958" t="str">
        <x:v>v12</x:v>
      </x:c>
      <x:c r="P63" s="959" t="str">
        <x:v>TestCase保存绑定版本</x:v>
      </x:c>
    </x:row>
    <x:row r="64" ht="34" customHeight="1">
      <x:c r="A64" s="985" t="n">
        <x:v>4</x:v>
      </x:c>
      <x:c r="B64" s="986" t="str">
        <x:v>公共资源与能力域</x:v>
      </x:c>
      <x:c r="C64" s="981" t="str">
        <x:v>Page</x:v>
      </x:c>
      <x:c r="D64" s="981" t="str">
        <x:v>page_id</x:v>
      </x:c>
      <x:c r="E64" s="981" t="str">
        <x:v>页面主键</x:v>
      </x:c>
      <x:c r="F64" s="981" t="str">
        <x:v>UUID/字符串</x:v>
      </x:c>
      <x:c r="G64" s="981" t="str">
        <x:v>是</x:v>
      </x:c>
      <x:c r="H64" s="981" t="str">
        <x:v>页面创建时</x:v>
      </x:c>
      <x:c r="I64" s="981" t="str">
        <x:v>页面对象中心</x:v>
      </x:c>
      <x:c r="J64" s="981" t="str">
        <x:v>系统生成</x:v>
      </x:c>
      <x:c r="K64" s="981" t="str">
        <x:v>project_id</x:v>
      </x:c>
      <x:c r="L64" s="981" t="str">
        <x:v>全局唯一</x:v>
      </x:c>
      <x:c r="M64" s="981" t="str">
        <x:v>Page</x:v>
      </x:c>
      <x:c r="N64" s="981" t="str">
        <x:v>active/disabled</x:v>
      </x:c>
      <x:c r="O64" s="981" t="str">
        <x:v>page_01H...</x:v>
      </x:c>
      <x:c r="P64" s="982" t="str">
        <x:v>GenerationContext可预选页面</x:v>
      </x:c>
    </x:row>
    <x:row r="65" ht="34" customHeight="1">
      <x:c r="A65" s="983" t="n">
        <x:v>4</x:v>
      </x:c>
      <x:c r="B65" s="984" t="str">
        <x:v>公共资源与能力域</x:v>
      </x:c>
      <x:c r="C65" s="958" t="str">
        <x:v>Page</x:v>
      </x:c>
      <x:c r="D65" s="958" t="str">
        <x:v>page_code</x:v>
      </x:c>
      <x:c r="E65" s="958" t="str">
        <x:v>页面业务稳定编码</x:v>
      </x:c>
      <x:c r="F65" s="958" t="str">
        <x:v>字符串</x:v>
      </x:c>
      <x:c r="G65" s="958" t="str">
        <x:v>是</x:v>
      </x:c>
      <x:c r="H65" s="958" t="str">
        <x:v>页面创建时</x:v>
      </x:c>
      <x:c r="I65" s="958" t="str">
        <x:v>页面对象中心</x:v>
      </x:c>
      <x:c r="J65" s="958" t="str">
        <x:v>用户/规则</x:v>
      </x:c>
      <x:c r="K65" s="958" t="str">
        <x:v>page_id</x:v>
      </x:c>
      <x:c r="L65" s="958" t="str">
        <x:v>project_id内唯一</x:v>
      </x:c>
      <x:c r="M65" s="958" t="str">
        <x:v>Page</x:v>
      </x:c>
      <x:c r="N65" s="958" t="str">
        <x:v>随页面</x:v>
      </x:c>
      <x:c r="O65" s="958" t="str">
        <x:v>login_page</x:v>
      </x:c>
      <x:c r="P65" s="959" t="str">
        <x:v>供AI语义匹配和脚本引用</x:v>
      </x:c>
    </x:row>
    <x:row r="66" ht="34" customHeight="1">
      <x:c r="A66" s="985" t="n">
        <x:v>4</x:v>
      </x:c>
      <x:c r="B66" s="986" t="str">
        <x:v>公共资源与能力域</x:v>
      </x:c>
      <x:c r="C66" s="981" t="str">
        <x:v>PageVersion</x:v>
      </x:c>
      <x:c r="D66" s="981" t="str">
        <x:v>page_version_id</x:v>
      </x:c>
      <x:c r="E66" s="981" t="str">
        <x:v>页面版本主键</x:v>
      </x:c>
      <x:c r="F66" s="981" t="str">
        <x:v>UUID/字符串</x:v>
      </x:c>
      <x:c r="G66" s="981" t="str">
        <x:v>是</x:v>
      </x:c>
      <x:c r="H66" s="981" t="str">
        <x:v>页面对象发布时</x:v>
      </x:c>
      <x:c r="I66" s="981" t="str">
        <x:v>页面对象中心</x:v>
      </x:c>
      <x:c r="J66" s="981" t="str">
        <x:v>系统生成</x:v>
      </x:c>
      <x:c r="K66" s="981" t="str">
        <x:v>page_id</x:v>
      </x:c>
      <x:c r="L66" s="981" t="str">
        <x:v>联合唯一</x:v>
      </x:c>
      <x:c r="M66" s="981" t="str">
        <x:v>PageVersion</x:v>
      </x:c>
      <x:c r="N66" s="981" t="str">
        <x:v>draft/published/retired</x:v>
      </x:c>
      <x:c r="O66" s="981" t="str">
        <x:v>pagev_12</x:v>
      </x:c>
      <x:c r="P66" s="982" t="str">
        <x:v>资源变化可触发case stale</x:v>
      </x:c>
    </x:row>
    <x:row r="67" ht="34" customHeight="1">
      <x:c r="A67" s="983" t="n">
        <x:v>4</x:v>
      </x:c>
      <x:c r="B67" s="984" t="str">
        <x:v>公共资源与能力域</x:v>
      </x:c>
      <x:c r="C67" s="958" t="str">
        <x:v>Element</x:v>
      </x:c>
      <x:c r="D67" s="958" t="str">
        <x:v>element_id</x:v>
      </x:c>
      <x:c r="E67" s="958" t="str">
        <x:v>页面元素主键</x:v>
      </x:c>
      <x:c r="F67" s="958" t="str">
        <x:v>UUID/字符串</x:v>
      </x:c>
      <x:c r="G67" s="958" t="str">
        <x:v>是</x:v>
      </x:c>
      <x:c r="H67" s="958" t="str">
        <x:v>元素创建时</x:v>
      </x:c>
      <x:c r="I67" s="958" t="str">
        <x:v>页面对象中心</x:v>
      </x:c>
      <x:c r="J67" s="958" t="str">
        <x:v>系统生成</x:v>
      </x:c>
      <x:c r="K67" s="958" t="str">
        <x:v>page_version_id</x:v>
      </x:c>
      <x:c r="L67" s="958" t="str">
        <x:v>全局唯一</x:v>
      </x:c>
      <x:c r="M67" s="958" t="str">
        <x:v>Element</x:v>
      </x:c>
      <x:c r="N67" s="958" t="str">
        <x:v>active/disabled</x:v>
      </x:c>
      <x:c r="O67" s="958" t="str">
        <x:v>el_01H...</x:v>
      </x:c>
      <x:c r="P67" s="959" t="str">
        <x:v>元素归属明确页面版本</x:v>
      </x:c>
    </x:row>
    <x:row r="68" ht="34" customHeight="1">
      <x:c r="A68" s="985" t="n">
        <x:v>4</x:v>
      </x:c>
      <x:c r="B68" s="986" t="str">
        <x:v>公共资源与能力域</x:v>
      </x:c>
      <x:c r="C68" s="981" t="str">
        <x:v>Element</x:v>
      </x:c>
      <x:c r="D68" s="981" t="str">
        <x:v>element_code</x:v>
      </x:c>
      <x:c r="E68" s="981" t="str">
        <x:v>元素业务稳定编码</x:v>
      </x:c>
      <x:c r="F68" s="981" t="str">
        <x:v>字符串</x:v>
      </x:c>
      <x:c r="G68" s="981" t="str">
        <x:v>是</x:v>
      </x:c>
      <x:c r="H68" s="981" t="str">
        <x:v>元素创建时</x:v>
      </x:c>
      <x:c r="I68" s="981" t="str">
        <x:v>页面对象中心</x:v>
      </x:c>
      <x:c r="J68" s="981" t="str">
        <x:v>用户/规则</x:v>
      </x:c>
      <x:c r="K68" s="981" t="str">
        <x:v>element_id</x:v>
      </x:c>
      <x:c r="L68" s="981" t="str">
        <x:v>page_id内唯一</x:v>
      </x:c>
      <x:c r="M68" s="981" t="str">
        <x:v>Element</x:v>
      </x:c>
      <x:c r="N68" s="981" t="str">
        <x:v>随元素</x:v>
      </x:c>
      <x:c r="O68" s="981" t="str">
        <x:v>login_submit</x:v>
      </x:c>
      <x:c r="P68" s="982" t="str">
        <x:v>机器步骤target引用稳定编码/ID</x:v>
      </x:c>
    </x:row>
    <x:row r="69" ht="34" customHeight="1">
      <x:c r="A69" s="983" t="n">
        <x:v>4</x:v>
      </x:c>
      <x:c r="B69" s="984" t="str">
        <x:v>公共资源与能力域</x:v>
      </x:c>
      <x:c r="C69" s="958" t="str">
        <x:v>Element</x:v>
      </x:c>
      <x:c r="D69" s="958" t="str">
        <x:v>alias/role</x:v>
      </x:c>
      <x:c r="E69" s="958" t="str">
        <x:v>元素语义别名和角色</x:v>
      </x:c>
      <x:c r="F69" s="958" t="str">
        <x:v>文本/枚举数组</x:v>
      </x:c>
      <x:c r="G69" s="958" t="str">
        <x:v>是</x:v>
      </x:c>
      <x:c r="H69" s="958" t="str">
        <x:v>元素维护时</x:v>
      </x:c>
      <x:c r="I69" s="958" t="str">
        <x:v>页面对象中心</x:v>
      </x:c>
      <x:c r="J69" s="958" t="str">
        <x:v>人工维护/扫描建议</x:v>
      </x:c>
      <x:c r="K69" s="958" t="str">
        <x:v>element_id</x:v>
      </x:c>
      <x:c r="L69" s="958" t="str">
        <x:v>全文/普通索引</x:v>
      </x:c>
      <x:c r="M69" s="958" t="str">
        <x:v>Element</x:v>
      </x:c>
      <x:c r="N69" s="958" t="str">
        <x:v>随版本</x:v>
      </x:c>
      <x:c r="O69" s="958" t="str">
        <x:v>登录按钮/button</x:v>
      </x:c>
      <x:c r="P69" s="959" t="str">
        <x:v>用于自然语言资源匹配</x:v>
      </x:c>
    </x:row>
    <x:row r="70" ht="34" customHeight="1">
      <x:c r="A70" s="985" t="n">
        <x:v>4</x:v>
      </x:c>
      <x:c r="B70" s="986" t="str">
        <x:v>公共资源与能力域</x:v>
      </x:c>
      <x:c r="C70" s="981" t="str">
        <x:v>ElementLocator</x:v>
      </x:c>
      <x:c r="D70" s="981" t="str">
        <x:v>locator_id/strategy/value/priority</x:v>
      </x:c>
      <x:c r="E70" s="981" t="str">
        <x:v>元素定位策略</x:v>
      </x:c>
      <x:c r="F70" s="981" t="str">
        <x:v>UUID/枚举/文本</x:v>
      </x:c>
      <x:c r="G70" s="981" t="str">
        <x:v>是</x:v>
      </x:c>
      <x:c r="H70" s="981" t="str">
        <x:v>定位器维护时</x:v>
      </x:c>
      <x:c r="I70" s="981" t="str">
        <x:v>页面对象中心</x:v>
      </x:c>
      <x:c r="J70" s="981" t="str">
        <x:v>人工/扫描</x:v>
      </x:c>
      <x:c r="K70" s="981" t="str">
        <x:v>element_id</x:v>
      </x:c>
      <x:c r="L70" s="981" t="str">
        <x:v>元素+策略+版本唯一</x:v>
      </x:c>
      <x:c r="M70" s="981" t="str">
        <x:v>ElementLocator</x:v>
      </x:c>
      <x:c r="N70" s="981" t="str">
        <x:v>active/fallback/disabled</x:v>
      </x:c>
      <x:c r="O70" s="981" t="str">
        <x:v>css:#login</x:v>
      </x:c>
      <x:c r="P70" s="982" t="str">
        <x:v>支持多个定位器和优先级</x:v>
      </x:c>
    </x:row>
    <x:row r="71" ht="34" customHeight="1">
      <x:c r="A71" s="983" t="n">
        <x:v>4</x:v>
      </x:c>
      <x:c r="B71" s="984" t="str">
        <x:v>公共资源与能力域</x:v>
      </x:c>
      <x:c r="C71" s="958" t="str">
        <x:v>Element</x:v>
      </x:c>
      <x:c r="D71" s="958" t="str">
        <x:v>supported_actions</x:v>
      </x:c>
      <x:c r="E71" s="958" t="str">
        <x:v>元素支持动作</x:v>
      </x:c>
      <x:c r="F71" s="958" t="str">
        <x:v>枚举数组</x:v>
      </x:c>
      <x:c r="G71" s="958" t="str">
        <x:v>是</x:v>
      </x:c>
      <x:c r="H71" s="958" t="str">
        <x:v>元素维护时</x:v>
      </x:c>
      <x:c r="I71" s="958" t="str">
        <x:v>页面对象中心</x:v>
      </x:c>
      <x:c r="J71" s="958" t="str">
        <x:v>规则/人工</x:v>
      </x:c>
      <x:c r="K71" s="958" t="str">
        <x:v>AtomicCapability</x:v>
      </x:c>
      <x:c r="L71" s="958" t="str">
        <x:v>普通索引</x:v>
      </x:c>
      <x:c r="M71" s="958" t="str">
        <x:v>Element</x:v>
      </x:c>
      <x:c r="N71" s="958" t="str">
        <x:v>随版本</x:v>
      </x:c>
      <x:c r="O71" s="958" t="str">
        <x:v>[click,assert_visible]</x:v>
      </x:c>
      <x:c r="P71" s="959" t="str">
        <x:v>转换质量门校验</x:v>
      </x:c>
    </x:row>
    <x:row r="72" ht="34" customHeight="1">
      <x:c r="A72" s="985" t="n">
        <x:v>4</x:v>
      </x:c>
      <x:c r="B72" s="986" t="str">
        <x:v>公共资源与能力域</x:v>
      </x:c>
      <x:c r="C72" s="981" t="str">
        <x:v>DataProfile</x:v>
      </x:c>
      <x:c r="D72" s="981" t="str">
        <x:v>data_profile_id</x:v>
      </x:c>
      <x:c r="E72" s="981" t="str">
        <x:v>测试数据配置主键</x:v>
      </x:c>
      <x:c r="F72" s="981" t="str">
        <x:v>UUID/字符串</x:v>
      </x:c>
      <x:c r="G72" s="981" t="str">
        <x:v>是</x:v>
      </x:c>
      <x:c r="H72" s="981" t="str">
        <x:v>数据配置创建时</x:v>
      </x:c>
      <x:c r="I72" s="981" t="str">
        <x:v>数据工厂</x:v>
      </x:c>
      <x:c r="J72" s="981" t="str">
        <x:v>系统生成</x:v>
      </x:c>
      <x:c r="K72" s="981" t="str">
        <x:v>project/environment</x:v>
      </x:c>
      <x:c r="L72" s="981" t="str">
        <x:v>全局唯一</x:v>
      </x:c>
      <x:c r="M72" s="981" t="str">
        <x:v>DataProfile</x:v>
      </x:c>
      <x:c r="N72" s="981" t="str">
        <x:v>active/disabled</x:v>
      </x:c>
      <x:c r="O72" s="981" t="str">
        <x:v>data_active_user</x:v>
      </x:c>
      <x:c r="P72" s="982" t="str">
        <x:v>机器计划只存引用</x:v>
      </x:c>
    </x:row>
    <x:row r="73" ht="34" customHeight="1">
      <x:c r="A73" s="983" t="n">
        <x:v>4</x:v>
      </x:c>
      <x:c r="B73" s="984" t="str">
        <x:v>公共资源与能力域</x:v>
      </x:c>
      <x:c r="C73" s="958" t="str">
        <x:v>DataVersion</x:v>
      </x:c>
      <x:c r="D73" s="958" t="str">
        <x:v>data_version_id</x:v>
      </x:c>
      <x:c r="E73" s="958" t="str">
        <x:v>测试数据配置版本</x:v>
      </x:c>
      <x:c r="F73" s="958" t="str">
        <x:v>UUID/字符串</x:v>
      </x:c>
      <x:c r="G73" s="958" t="str">
        <x:v>是</x:v>
      </x:c>
      <x:c r="H73" s="958" t="str">
        <x:v>数据发布时</x:v>
      </x:c>
      <x:c r="I73" s="958" t="str">
        <x:v>数据工厂</x:v>
      </x:c>
      <x:c r="J73" s="958" t="str">
        <x:v>系统生成</x:v>
      </x:c>
      <x:c r="K73" s="958" t="str">
        <x:v>data_profile_id</x:v>
      </x:c>
      <x:c r="L73" s="958" t="str">
        <x:v>联合唯一</x:v>
      </x:c>
      <x:c r="M73" s="958" t="str">
        <x:v>DataVersion</x:v>
      </x:c>
      <x:c r="N73" s="958" t="str">
        <x:v>draft/published/retired</x:v>
      </x:c>
      <x:c r="O73" s="958" t="str">
        <x:v>dv_04</x:v>
      </x:c>
      <x:c r="P73" s="959" t="str">
        <x:v>动态值可运行时生成</x:v>
      </x:c>
    </x:row>
    <x:row r="74" ht="34" customHeight="1">
      <x:c r="A74" s="985" t="n">
        <x:v>4</x:v>
      </x:c>
      <x:c r="B74" s="986" t="str">
        <x:v>公共资源与能力域</x:v>
      </x:c>
      <x:c r="C74" s="981" t="str">
        <x:v>DataGenerator</x:v>
      </x:c>
      <x:c r="D74" s="981" t="str">
        <x:v>generator_id/generator_version</x:v>
      </x:c>
      <x:c r="E74" s="981" t="str">
        <x:v>动态数据生成器身份和版本</x:v>
      </x:c>
      <x:c r="F74" s="981" t="str">
        <x:v>字符串</x:v>
      </x:c>
      <x:c r="G74" s="981" t="str">
        <x:v>否</x:v>
      </x:c>
      <x:c r="H74" s="981" t="str">
        <x:v>生成器注册时</x:v>
      </x:c>
      <x:c r="I74" s="981" t="str">
        <x:v>数据工厂</x:v>
      </x:c>
      <x:c r="J74" s="981" t="str">
        <x:v>平台注册</x:v>
      </x:c>
      <x:c r="K74" s="981" t="str">
        <x:v>data_profile_id</x:v>
      </x:c>
      <x:c r="L74" s="981" t="str">
        <x:v>组合唯一</x:v>
      </x:c>
      <x:c r="M74" s="981" t="str">
        <x:v>Generator Registry</x:v>
      </x:c>
      <x:c r="N74" s="981" t="str">
        <x:v>active/deprecated</x:v>
      </x:c>
      <x:c r="O74" s="981" t="str">
        <x:v>email.invalid.v2</x:v>
      </x:c>
      <x:c r="P74" s="982" t="str">
        <x:v>必须可重复测试</x:v>
      </x:c>
    </x:row>
    <x:row r="75" ht="34" customHeight="1">
      <x:c r="A75" s="983" t="n">
        <x:v>4</x:v>
      </x:c>
      <x:c r="B75" s="984" t="str">
        <x:v>公共资源与能力域</x:v>
      </x:c>
      <x:c r="C75" s="958" t="str">
        <x:v>Credential</x:v>
      </x:c>
      <x:c r="D75" s="958" t="str">
        <x:v>credential_ref</x:v>
      </x:c>
      <x:c r="E75" s="958" t="str">
        <x:v>敏感凭证逻辑引用</x:v>
      </x:c>
      <x:c r="F75" s="958" t="str">
        <x:v>字符串</x:v>
      </x:c>
      <x:c r="G75" s="958" t="str">
        <x:v>条件必填</x:v>
      </x:c>
      <x:c r="H75" s="958" t="str">
        <x:v>凭证登记时</x:v>
      </x:c>
      <x:c r="I75" s="958" t="str">
        <x:v>凭证中心</x:v>
      </x:c>
      <x:c r="J75" s="958" t="str">
        <x:v>人工/系统</x:v>
      </x:c>
      <x:c r="K75" s="958" t="str">
        <x:v>environment_id/project_id</x:v>
      </x:c>
      <x:c r="L75" s="958" t="str">
        <x:v>项目+环境内唯一</x:v>
      </x:c>
      <x:c r="M75" s="958" t="str">
        <x:v>Vault/KMS元数据</x:v>
      </x:c>
      <x:c r="N75" s="958" t="str">
        <x:v>active/rotating/revoked</x:v>
      </x:c>
      <x:c r="O75" s="958" t="str">
        <x:v>staging.login.userA</x:v>
      </x:c>
      <x:c r="P75" s="959" t="str">
        <x:v>平台DB不存明文</x:v>
      </x:c>
    </x:row>
    <x:row r="76" ht="34" customHeight="1">
      <x:c r="A76" s="985" t="n">
        <x:v>4</x:v>
      </x:c>
      <x:c r="B76" s="986" t="str">
        <x:v>公共资源与能力域</x:v>
      </x:c>
      <x:c r="C76" s="981" t="str">
        <x:v>Environment</x:v>
      </x:c>
      <x:c r="D76" s="981" t="str">
        <x:v>environment_id</x:v>
      </x:c>
      <x:c r="E76" s="981" t="str">
        <x:v>执行环境主键</x:v>
      </x:c>
      <x:c r="F76" s="981" t="str">
        <x:v>UUID/字符串</x:v>
      </x:c>
      <x:c r="G76" s="981" t="str">
        <x:v>是</x:v>
      </x:c>
      <x:c r="H76" s="981" t="str">
        <x:v>环境创建时</x:v>
      </x:c>
      <x:c r="I76" s="981" t="str">
        <x:v>环境中心</x:v>
      </x:c>
      <x:c r="J76" s="981" t="str">
        <x:v>系统生成</x:v>
      </x:c>
      <x:c r="K76" s="981" t="str">
        <x:v>project_id</x:v>
      </x:c>
      <x:c r="L76" s="981" t="str">
        <x:v>全局唯一</x:v>
      </x:c>
      <x:c r="M76" s="981" t="str">
        <x:v>Environment</x:v>
      </x:c>
      <x:c r="N76" s="981" t="str">
        <x:v>active/maintenance/disabled</x:v>
      </x:c>
      <x:c r="O76" s="981" t="str">
        <x:v>env_staging</x:v>
      </x:c>
      <x:c r="P76" s="982" t="str">
        <x:v>转换和执行均显式绑定</x:v>
      </x:c>
    </x:row>
    <x:row r="77" ht="34" customHeight="1">
      <x:c r="A77" s="983" t="n">
        <x:v>4</x:v>
      </x:c>
      <x:c r="B77" s="984" t="str">
        <x:v>公共资源与能力域</x:v>
      </x:c>
      <x:c r="C77" s="958" t="str">
        <x:v>Environment</x:v>
      </x:c>
      <x:c r="D77" s="958" t="str">
        <x:v>environment_type/base_url/capability_allowlist</x:v>
      </x:c>
      <x:c r="E77" s="958" t="str">
        <x:v>环境类型、地址和能力白名单</x:v>
      </x:c>
      <x:c r="F77" s="958" t="str">
        <x:v>枚举/URL/数组</x:v>
      </x:c>
      <x:c r="G77" s="958" t="str">
        <x:v>是</x:v>
      </x:c>
      <x:c r="H77" s="958" t="str">
        <x:v>环境维护时</x:v>
      </x:c>
      <x:c r="I77" s="958" t="str">
        <x:v>环境中心</x:v>
      </x:c>
      <x:c r="J77" s="958" t="str">
        <x:v>人工配置</x:v>
      </x:c>
      <x:c r="K77" s="958" t="str">
        <x:v>credential refs/policy</x:v>
      </x:c>
      <x:c r="L77" s="958" t="str">
        <x:v>普通索引</x:v>
      </x:c>
      <x:c r="M77" s="958" t="str">
        <x:v>EnvironmentVersion</x:v>
      </x:c>
      <x:c r="N77" s="958" t="str">
        <x:v>随版本</x:v>
      </x:c>
      <x:c r="O77" s="958" t="str">
        <x:v>staging/https://...</x:v>
      </x:c>
      <x:c r="P77" s="959" t="str">
        <x:v>生产环境默认禁止高风险能力</x:v>
      </x:c>
    </x:row>
    <x:row r="78" ht="34" customHeight="1">
      <x:c r="A78" s="985" t="n">
        <x:v>4</x:v>
      </x:c>
      <x:c r="B78" s="986" t="str">
        <x:v>公共资源与能力域</x:v>
      </x:c>
      <x:c r="C78" s="981" t="str">
        <x:v>MockProfile</x:v>
      </x:c>
      <x:c r="D78" s="981" t="str">
        <x:v>mock_profile_id/mock_version</x:v>
      </x:c>
      <x:c r="E78" s="981" t="str">
        <x:v>Mock场景和版本</x:v>
      </x:c>
      <x:c r="F78" s="981" t="str">
        <x:v>UUID/字符串</x:v>
      </x:c>
      <x:c r="G78" s="981" t="str">
        <x:v>否</x:v>
      </x:c>
      <x:c r="H78" s="981" t="str">
        <x:v>Mock配置发布时</x:v>
      </x:c>
      <x:c r="I78" s="981" t="str">
        <x:v>Mock中心</x:v>
      </x:c>
      <x:c r="J78" s="981" t="str">
        <x:v>系统生成</x:v>
      </x:c>
      <x:c r="K78" s="981" t="str">
        <x:v>environment/service</x:v>
      </x:c>
      <x:c r="L78" s="981" t="str">
        <x:v>组合唯一</x:v>
      </x:c>
      <x:c r="M78" s="981" t="str">
        <x:v>MockProfile</x:v>
      </x:c>
      <x:c r="N78" s="981" t="str">
        <x:v>draft/published/retired</x:v>
      </x:c>
      <x:c r="O78" s="981" t="str">
        <x:v>mock_payment_timeout.v2</x:v>
      </x:c>
      <x:c r="P78" s="982" t="str">
        <x:v>必须含启动/恢复/cleanup</x:v>
      </x:c>
    </x:row>
    <x:row r="79" ht="34" customHeight="1">
      <x:c r="A79" s="983" t="n">
        <x:v>4</x:v>
      </x:c>
      <x:c r="B79" s="984" t="str">
        <x:v>公共资源与能力域</x:v>
      </x:c>
      <x:c r="C79" s="958" t="str">
        <x:v>FaultProfile</x:v>
      </x:c>
      <x:c r="D79" s="958" t="str">
        <x:v>fault_profile_id/fault_version</x:v>
      </x:c>
      <x:c r="E79" s="958" t="str">
        <x:v>故障注入配置和版本</x:v>
      </x:c>
      <x:c r="F79" s="958" t="str">
        <x:v>UUID/字符串</x:v>
      </x:c>
      <x:c r="G79" s="958" t="str">
        <x:v>否</x:v>
      </x:c>
      <x:c r="H79" s="958" t="str">
        <x:v>能力发布时</x:v>
      </x:c>
      <x:c r="I79" s="958" t="str">
        <x:v>异常能力中心</x:v>
      </x:c>
      <x:c r="J79" s="958" t="str">
        <x:v>系统生成</x:v>
      </x:c>
      <x:c r="K79" s="958" t="str">
        <x:v>environment/policy</x:v>
      </x:c>
      <x:c r="L79" s="958" t="str">
        <x:v>组合唯一</x:v>
      </x:c>
      <x:c r="M79" s="958" t="str">
        <x:v>FaultProfile</x:v>
      </x:c>
      <x:c r="N79" s="958" t="str">
        <x:v>active/disabled</x:v>
      </x:c>
      <x:c r="O79" s="958" t="str">
        <x:v>fault_weaknet_v2</x:v>
      </x:c>
      <x:c r="P79" s="959" t="str">
        <x:v>必须有allowed_environments和cleanup</x:v>
      </x:c>
    </x:row>
    <x:row r="80" ht="34" customHeight="1">
      <x:c r="A80" s="985" t="n">
        <x:v>4</x:v>
      </x:c>
      <x:c r="B80" s="986" t="str">
        <x:v>公共资源与能力域</x:v>
      </x:c>
      <x:c r="C80" s="981" t="str">
        <x:v>SecurityPolicy</x:v>
      </x:c>
      <x:c r="D80" s="981" t="str">
        <x:v>security_policy_id/policy_version</x:v>
      </x:c>
      <x:c r="E80" s="981" t="str">
        <x:v>安全测试策略和版本</x:v>
      </x:c>
      <x:c r="F80" s="981" t="str">
        <x:v>UUID/字符串</x:v>
      </x:c>
      <x:c r="G80" s="981" t="str">
        <x:v>否</x:v>
      </x:c>
      <x:c r="H80" s="981" t="str">
        <x:v>策略发布时</x:v>
      </x:c>
      <x:c r="I80" s="981" t="str">
        <x:v>安全能力中心</x:v>
      </x:c>
      <x:c r="J80" s="981" t="str">
        <x:v>系统生成</x:v>
      </x:c>
      <x:c r="K80" s="981" t="str">
        <x:v>environment/approval</x:v>
      </x:c>
      <x:c r="L80" s="981" t="str">
        <x:v>组合唯一</x:v>
      </x:c>
      <x:c r="M80" s="981" t="str">
        <x:v>SecurityPolicy</x:v>
      </x:c>
      <x:c r="N80" s="981" t="str">
        <x:v>draft/published/retired</x:v>
      </x:c>
      <x:c r="O80" s="981" t="str">
        <x:v>sec_authz_v3</x:v>
      </x:c>
      <x:c r="P80" s="982" t="str">
        <x:v>Payload需受治理</x:v>
      </x:c>
    </x:row>
    <x:row r="81" ht="34" customHeight="1">
      <x:c r="A81" s="983" t="n">
        <x:v>4</x:v>
      </x:c>
      <x:c r="B81" s="984" t="str">
        <x:v>公共资源与能力域</x:v>
      </x:c>
      <x:c r="C81" s="958" t="str">
        <x:v>LoadProfile</x:v>
      </x:c>
      <x:c r="D81" s="958" t="str">
        <x:v>load_profile_id/profile_version</x:v>
      </x:c>
      <x:c r="E81" s="958" t="str">
        <x:v>性能负载模型和版本</x:v>
      </x:c>
      <x:c r="F81" s="958" t="str">
        <x:v>UUID/字符串</x:v>
      </x:c>
      <x:c r="G81" s="958" t="str">
        <x:v>否</x:v>
      </x:c>
      <x:c r="H81" s="958" t="str">
        <x:v>负载配置发布时</x:v>
      </x:c>
      <x:c r="I81" s="958" t="str">
        <x:v>性能能力中心</x:v>
      </x:c>
      <x:c r="J81" s="958" t="str">
        <x:v>系统生成</x:v>
      </x:c>
      <x:c r="K81" s="958" t="str">
        <x:v>environment/runner</x:v>
      </x:c>
      <x:c r="L81" s="958" t="str">
        <x:v>组合唯一</x:v>
      </x:c>
      <x:c r="M81" s="958" t="str">
        <x:v>LoadProfile</x:v>
      </x:c>
      <x:c r="N81" s="958" t="str">
        <x:v>draft/published/retired</x:v>
      </x:c>
      <x:c r="O81" s="958" t="str">
        <x:v>load_checkout_v1</x:v>
      </x:c>
      <x:c r="P81" s="959" t="str">
        <x:v>包含并发、持续时间和阈值</x:v>
      </x:c>
    </x:row>
    <x:row r="82" ht="34" customHeight="1">
      <x:c r="A82" s="985" t="n">
        <x:v>4</x:v>
      </x:c>
      <x:c r="B82" s="986" t="str">
        <x:v>公共资源与能力域</x:v>
      </x:c>
      <x:c r="C82" s="981" t="str">
        <x:v>AtomicCapability</x:v>
      </x:c>
      <x:c r="D82" s="981" t="str">
        <x:v>capability_id/capability_code/version</x:v>
      </x:c>
      <x:c r="E82" s="981" t="str">
        <x:v>原子动作、断言或Hook身份</x:v>
      </x:c>
      <x:c r="F82" s="981" t="str">
        <x:v>字符串</x:v>
      </x:c>
      <x:c r="G82" s="981" t="str">
        <x:v>是</x:v>
      </x:c>
      <x:c r="H82" s="981" t="str">
        <x:v>能力注册时</x:v>
      </x:c>
      <x:c r="I82" s="981" t="str">
        <x:v>原子能力中心</x:v>
      </x:c>
      <x:c r="J82" s="981" t="str">
        <x:v>平台注册</x:v>
      </x:c>
      <x:c r="K82" s="981" t="str">
        <x:v>compiler/runner</x:v>
      </x:c>
      <x:c r="L82" s="981" t="str">
        <x:v>code+version唯一</x:v>
      </x:c>
      <x:c r="M82" s="981" t="str">
        <x:v>Capability Registry</x:v>
      </x:c>
      <x:c r="N82" s="981" t="str">
        <x:v>active/deprecated</x:v>
      </x:c>
      <x:c r="O82" s="981" t="str">
        <x:v>ui.click.v1</x:v>
      </x:c>
      <x:c r="P82" s="982" t="str">
        <x:v>声明输入输出和支持Runner</x:v>
      </x:c>
    </x:row>
    <x:row r="83" ht="34" customHeight="1">
      <x:c r="A83" s="983" t="n">
        <x:v>4</x:v>
      </x:c>
      <x:c r="B83" s="984" t="str">
        <x:v>公共资源与能力域</x:v>
      </x:c>
      <x:c r="C83" s="958" t="str">
        <x:v>Policy</x:v>
      </x:c>
      <x:c r="D83" s="958" t="str">
        <x:v>policy_id/policy_version</x:v>
      </x:c>
      <x:c r="E83" s="958" t="str">
        <x:v>治理规则身份和版本</x:v>
      </x:c>
      <x:c r="F83" s="958" t="str">
        <x:v>UUID/字符串</x:v>
      </x:c>
      <x:c r="G83" s="958" t="str">
        <x:v>是</x:v>
      </x:c>
      <x:c r="H83" s="958" t="str">
        <x:v>规则发布时</x:v>
      </x:c>
      <x:c r="I83" s="958" t="str">
        <x:v>策略中心</x:v>
      </x:c>
      <x:c r="J83" s="958" t="str">
        <x:v>系统生成</x:v>
      </x:c>
      <x:c r="K83" s="958" t="str">
        <x:v>project/environment/capability</x:v>
      </x:c>
      <x:c r="L83" s="958" t="str">
        <x:v>组合唯一</x:v>
      </x:c>
      <x:c r="M83" s="958" t="str">
        <x:v>Policy</x:v>
      </x:c>
      <x:c r="N83" s="958" t="str">
        <x:v>draft/published/retired</x:v>
      </x:c>
      <x:c r="O83" s="958" t="str">
        <x:v>pol_prod_no_chaos.v2</x:v>
      </x:c>
      <x:c r="P83" s="959" t="str">
        <x:v>命中规则需可解释</x:v>
      </x:c>
    </x:row>
    <x:row r="84" ht="34" customHeight="1">
      <x:c r="A84" s="985" t="n">
        <x:v>4</x:v>
      </x:c>
      <x:c r="B84" s="986" t="str">
        <x:v>公共资源与能力域</x:v>
      </x:c>
      <x:c r="C84" s="981" t="str">
        <x:v>ResourceGatewayRequest</x:v>
      </x:c>
      <x:c r="D84" s="981" t="str">
        <x:v>resource_request_id</x:v>
      </x:c>
      <x:c r="E84" s="981" t="str">
        <x:v>一次资源网关请求主键</x:v>
      </x:c>
      <x:c r="F84" s="981" t="str">
        <x:v>UUID/字符串</x:v>
      </x:c>
      <x:c r="G84" s="981" t="str">
        <x:v>是</x:v>
      </x:c>
      <x:c r="H84" s="981" t="str">
        <x:v>转换资源编排时</x:v>
      </x:c>
      <x:c r="I84" s="981" t="str">
        <x:v>资源网关</x:v>
      </x:c>
      <x:c r="J84" s="981" t="str">
        <x:v>系统生成</x:v>
      </x:c>
      <x:c r="K84" s="981" t="str">
        <x:v>conversion_attempt_id</x:v>
      </x:c>
      <x:c r="L84" s="981" t="str">
        <x:v>全局唯一</x:v>
      </x:c>
      <x:c r="M84" s="981" t="str">
        <x:v>网关日志</x:v>
      </x:c>
      <x:c r="N84" s="981" t="str">
        <x:v>received/completed/partial/failed</x:v>
      </x:c>
      <x:c r="O84" s="981" t="str">
        <x:v>rgr_01H...</x:v>
      </x:c>
      <x:c r="P84" s="982" t="str">
        <x:v>用于审计和性能追踪</x:v>
      </x:c>
    </x:row>
    <x:row r="85" ht="34" customHeight="1">
      <x:c r="A85" s="990" t="n">
        <x:v>5</x:v>
      </x:c>
      <x:c r="B85" s="991" t="str">
        <x:v>测试用例、执行、证据与反馈域</x:v>
      </x:c>
      <x:c r="C85" s="958" t="str">
        <x:v>TestCase</x:v>
      </x:c>
      <x:c r="D85" s="958" t="str">
        <x:v>test_case_id</x:v>
      </x:c>
      <x:c r="E85" s="958" t="str">
        <x:v>可执行测试用例稳定主键</x:v>
      </x:c>
      <x:c r="F85" s="958" t="str">
        <x:v>UUID/字符串</x:v>
      </x:c>
      <x:c r="G85" s="958" t="str">
        <x:v>是</x:v>
      </x:c>
      <x:c r="H85" s="958" t="str">
        <x:v>转换成功后</x:v>
      </x:c>
      <x:c r="I85" s="958" t="str">
        <x:v>Case Builder</x:v>
      </x:c>
      <x:c r="J85" s="958" t="str">
        <x:v>系统生成</x:v>
      </x:c>
      <x:c r="K85" s="958" t="str">
        <x:v>source_asset_id</x:v>
      </x:c>
      <x:c r="L85" s="958" t="str">
        <x:v>全局唯一</x:v>
      </x:c>
      <x:c r="M85" s="958" t="str">
        <x:v>TestCase</x:v>
      </x:c>
      <x:c r="N85" s="958" t="str">
        <x:v>ready/stale/disabled</x:v>
      </x:c>
      <x:c r="O85" s="958" t="str">
        <x:v>tc_01H...</x:v>
      </x:c>
      <x:c r="P85" s="959" t="str">
        <x:v>仅转换成功创建</x:v>
      </x:c>
    </x:row>
    <x:row r="86" ht="34" customHeight="1">
      <x:c r="A86" s="992" t="n">
        <x:v>5</x:v>
      </x:c>
      <x:c r="B86" s="993" t="str">
        <x:v>测试用例、执行、证据与反馈域</x:v>
      </x:c>
      <x:c r="C86" s="988" t="str">
        <x:v>TestCaseVersion</x:v>
      </x:c>
      <x:c r="D86" s="988" t="str">
        <x:v>test_case_version_id</x:v>
      </x:c>
      <x:c r="E86" s="988" t="str">
        <x:v>测试用例机器版本主键</x:v>
      </x:c>
      <x:c r="F86" s="988" t="str">
        <x:v>UUID/字符串</x:v>
      </x:c>
      <x:c r="G86" s="988" t="str">
        <x:v>是</x:v>
      </x:c>
      <x:c r="H86" s="988" t="str">
        <x:v>每次重新转换/编译成功时</x:v>
      </x:c>
      <x:c r="I86" s="988" t="str">
        <x:v>Case Builder</x:v>
      </x:c>
      <x:c r="J86" s="988" t="str">
        <x:v>系统生成</x:v>
      </x:c>
      <x:c r="K86" s="988" t="str">
        <x:v>test_case_id</x:v>
      </x:c>
      <x:c r="L86" s="988" t="str">
        <x:v>test_case_id+version_no唯一</x:v>
      </x:c>
      <x:c r="M86" s="988" t="str">
        <x:v>TestCaseVersion</x:v>
      </x:c>
      <x:c r="N86" s="988" t="str">
        <x:v>immutable</x:v>
      </x:c>
      <x:c r="O86" s="988" t="str">
        <x:v>tcv_03</x:v>
      </x:c>
      <x:c r="P86" s="989" t="str">
        <x:v>Runner绑定明确版本</x:v>
      </x:c>
    </x:row>
    <x:row r="87" ht="34" customHeight="1">
      <x:c r="A87" s="990" t="n">
        <x:v>5</x:v>
      </x:c>
      <x:c r="B87" s="991" t="str">
        <x:v>测试用例、执行、证据与反馈域</x:v>
      </x:c>
      <x:c r="C87" s="958" t="str">
        <x:v>TestCaseVersion</x:v>
      </x:c>
      <x:c r="D87" s="958" t="str">
        <x:v>source_asset_id/source_asset_version_id</x:v>
      </x:c>
      <x:c r="E87" s="958" t="str">
        <x:v>来源资产及版本</x:v>
      </x:c>
      <x:c r="F87" s="958" t="str">
        <x:v>外键</x:v>
      </x:c>
      <x:c r="G87" s="958" t="str">
        <x:v>是</x:v>
      </x:c>
      <x:c r="H87" s="958" t="str">
        <x:v>创建用例版本时</x:v>
      </x:c>
      <x:c r="I87" s="958" t="str">
        <x:v>Case Builder</x:v>
      </x:c>
      <x:c r="J87" s="958" t="str">
        <x:v>ConversionAttempt</x:v>
      </x:c>
      <x:c r="K87" s="958" t="str">
        <x:v>TestAsset/AssetVersion</x:v>
      </x:c>
      <x:c r="L87" s="958" t="str">
        <x:v>组合索引</x:v>
      </x:c>
      <x:c r="M87" s="958" t="str">
        <x:v>TestCaseVersion</x:v>
      </x:c>
      <x:c r="N87" s="958" t="str">
        <x:v>不可变</x:v>
      </x:c>
      <x:c r="O87" s="958" t="str">
        <x:v>ta_01/tav_03</x:v>
      </x:c>
      <x:c r="P87" s="959" t="str">
        <x:v>实现自然语言到用例追踪</x:v>
      </x:c>
    </x:row>
    <x:row r="88" ht="34" customHeight="1">
      <x:c r="A88" s="992" t="n">
        <x:v>5</x:v>
      </x:c>
      <x:c r="B88" s="993" t="str">
        <x:v>测试用例、执行、证据与反馈域</x:v>
      </x:c>
      <x:c r="C88" s="988" t="str">
        <x:v>TestCaseVersion</x:v>
      </x:c>
      <x:c r="D88" s="988" t="str">
        <x:v>script_code</x:v>
      </x:c>
      <x:c r="E88" s="988" t="str">
        <x:v>最终机器执行事实</x:v>
      </x:c>
      <x:c r="F88" s="988" t="str">
        <x:v>JSON/YAML/代码文本</x:v>
      </x:c>
      <x:c r="G88" s="988" t="str">
        <x:v>是</x:v>
      </x:c>
      <x:c r="H88" s="988" t="str">
        <x:v>Compiler成功时</x:v>
      </x:c>
      <x:c r="I88" s="988" t="str">
        <x:v>Compiler</x:v>
      </x:c>
      <x:c r="J88" s="988" t="str">
        <x:v>BoundExecutionPlan</x:v>
      </x:c>
      <x:c r="K88" s="988" t="str">
        <x:v>Runner</x:v>
      </x:c>
      <x:c r="L88" s="988" t="str">
        <x:v>按内容hash可索引</x:v>
      </x:c>
      <x:c r="M88" s="988" t="str">
        <x:v>TestCaseVersion</x:v>
      </x:c>
      <x:c r="N88" s="988" t="str">
        <x:v>不可变</x:v>
      </x:c>
      <x:c r="O88" s="988" t="str">
        <x:v>steps: ...</x:v>
      </x:c>
      <x:c r="P88" s="989" t="str">
        <x:v>禁止人工绕过治理直接写入</x:v>
      </x:c>
    </x:row>
    <x:row r="89" ht="34" customHeight="1">
      <x:c r="A89" s="990" t="n">
        <x:v>5</x:v>
      </x:c>
      <x:c r="B89" s="991" t="str">
        <x:v>测试用例、执行、证据与反馈域</x:v>
      </x:c>
      <x:c r="C89" s="958" t="str">
        <x:v>TestCaseVersion</x:v>
      </x:c>
      <x:c r="D89" s="958" t="str">
        <x:v>runner_type/compiler_id/compiler_version</x:v>
      </x:c>
      <x:c r="E89" s="958" t="str">
        <x:v>执行器和编译器信息</x:v>
      </x:c>
      <x:c r="F89" s="958" t="str">
        <x:v>枚举/字符串</x:v>
      </x:c>
      <x:c r="G89" s="958" t="str">
        <x:v>是</x:v>
      </x:c>
      <x:c r="H89" s="958" t="str">
        <x:v>编译时</x:v>
      </x:c>
      <x:c r="I89" s="958" t="str">
        <x:v>Compiler Router</x:v>
      </x:c>
      <x:c r="J89" s="958" t="str">
        <x:v>编译选择</x:v>
      </x:c>
      <x:c r="K89" s="958" t="str">
        <x:v>Runner Registry</x:v>
      </x:c>
      <x:c r="L89" s="958" t="str">
        <x:v>普通索引</x:v>
      </x:c>
      <x:c r="M89" s="958" t="str">
        <x:v>TestCaseVersion</x:v>
      </x:c>
      <x:c r="N89" s="958" t="str">
        <x:v>随版本</x:v>
      </x:c>
      <x:c r="O89" s="958" t="str">
        <x:v>playwright/playwright.v2</x:v>
      </x:c>
      <x:c r="P89" s="959" t="str">
        <x:v>执行时不得重新选择不兼容Runner</x:v>
      </x:c>
    </x:row>
    <x:row r="90" ht="34" customHeight="1">
      <x:c r="A90" s="992" t="n">
        <x:v>5</x:v>
      </x:c>
      <x:c r="B90" s="993" t="str">
        <x:v>测试用例、执行、证据与反馈域</x:v>
      </x:c>
      <x:c r="C90" s="988" t="str">
        <x:v>ResourceBindingSnapshot</x:v>
      </x:c>
      <x:c r="D90" s="988" t="str">
        <x:v>resource_snapshot_id</x:v>
      </x:c>
      <x:c r="E90" s="988" t="str">
        <x:v>用例资源绑定快照主键</x:v>
      </x:c>
      <x:c r="F90" s="988" t="str">
        <x:v>UUID/字符串</x:v>
      </x:c>
      <x:c r="G90" s="988" t="str">
        <x:v>是</x:v>
      </x:c>
      <x:c r="H90" s="988" t="str">
        <x:v>用例版本创建时</x:v>
      </x:c>
      <x:c r="I90" s="988" t="str">
        <x:v>Case Builder</x:v>
      </x:c>
      <x:c r="J90" s="988" t="str">
        <x:v>ResourceBindings</x:v>
      </x:c>
      <x:c r="K90" s="988" t="str">
        <x:v>TestCaseVersion</x:v>
      </x:c>
      <x:c r="L90" s="988" t="str">
        <x:v>全局唯一</x:v>
      </x:c>
      <x:c r="M90" s="988" t="str">
        <x:v>ResourceBindingSnapshot</x:v>
      </x:c>
      <x:c r="N90" s="988" t="str">
        <x:v>不可变</x:v>
      </x:c>
      <x:c r="O90" s="988" t="str">
        <x:v>rss_01H...</x:v>
      </x:c>
      <x:c r="P90" s="989" t="str">
        <x:v>只存引用和版本，不存密钥值</x:v>
      </x:c>
    </x:row>
    <x:row r="91" ht="34" customHeight="1">
      <x:c r="A91" s="990" t="n">
        <x:v>5</x:v>
      </x:c>
      <x:c r="B91" s="991" t="str">
        <x:v>测试用例、执行、证据与反馈域</x:v>
      </x:c>
      <x:c r="C91" s="958" t="str">
        <x:v>ExecutionJob</x:v>
      </x:c>
      <x:c r="D91" s="958" t="str">
        <x:v>execution_job_id</x:v>
      </x:c>
      <x:c r="E91" s="958" t="str">
        <x:v>调度任务主键</x:v>
      </x:c>
      <x:c r="F91" s="958" t="str">
        <x:v>UUID/字符串</x:v>
      </x:c>
      <x:c r="G91" s="958" t="str">
        <x:v>是</x:v>
      </x:c>
      <x:c r="H91" s="958" t="str">
        <x:v>用户/CI发起执行时</x:v>
      </x:c>
      <x:c r="I91" s="958" t="str">
        <x:v>调度中心</x:v>
      </x:c>
      <x:c r="J91" s="958" t="str">
        <x:v>系统生成</x:v>
      </x:c>
      <x:c r="K91" s="958" t="str">
        <x:v>case_ids/schedule_id</x:v>
      </x:c>
      <x:c r="L91" s="958" t="str">
        <x:v>全局唯一</x:v>
      </x:c>
      <x:c r="M91" s="958" t="str">
        <x:v>ExecutionJob</x:v>
      </x:c>
      <x:c r="N91" s="958" t="str">
        <x:v>queued/scheduled/running/completed/cancelled</x:v>
      </x:c>
      <x:c r="O91" s="958" t="str">
        <x:v>job_01H...</x:v>
      </x:c>
      <x:c r="P91" s="959" t="str">
        <x:v>任务可包含多用例</x:v>
      </x:c>
    </x:row>
    <x:row r="92" ht="34" customHeight="1">
      <x:c r="A92" s="992" t="n">
        <x:v>5</x:v>
      </x:c>
      <x:c r="B92" s="993" t="str">
        <x:v>测试用例、执行、证据与反馈域</x:v>
      </x:c>
      <x:c r="C92" s="988" t="str">
        <x:v>Schedule</x:v>
      </x:c>
      <x:c r="D92" s="988" t="str">
        <x:v>schedule_id</x:v>
      </x:c>
      <x:c r="E92" s="988" t="str">
        <x:v>定时计划主键</x:v>
      </x:c>
      <x:c r="F92" s="988" t="str">
        <x:v>UUID/字符串</x:v>
      </x:c>
      <x:c r="G92" s="988" t="str">
        <x:v>否</x:v>
      </x:c>
      <x:c r="H92" s="988" t="str">
        <x:v>创建定时执行时</x:v>
      </x:c>
      <x:c r="I92" s="988" t="str">
        <x:v>调度中心</x:v>
      </x:c>
      <x:c r="J92" s="988" t="str">
        <x:v>系统生成</x:v>
      </x:c>
      <x:c r="K92" s="988" t="str">
        <x:v>project/case suite</x:v>
      </x:c>
      <x:c r="L92" s="988" t="str">
        <x:v>全局唯一</x:v>
      </x:c>
      <x:c r="M92" s="988" t="str">
        <x:v>Schedule</x:v>
      </x:c>
      <x:c r="N92" s="988" t="str">
        <x:v>active/paused/disabled</x:v>
      </x:c>
      <x:c r="O92" s="988" t="str">
        <x:v>sch_01H...</x:v>
      </x:c>
      <x:c r="P92" s="989" t="str">
        <x:v>与一次ExecutionJob区分</x:v>
      </x:c>
    </x:row>
    <x:row r="93" ht="34" customHeight="1">
      <x:c r="A93" s="990" t="n">
        <x:v>5</x:v>
      </x:c>
      <x:c r="B93" s="991" t="str">
        <x:v>测试用例、执行、证据与反馈域</x:v>
      </x:c>
      <x:c r="C93" s="958" t="str">
        <x:v>Execution</x:v>
      </x:c>
      <x:c r="D93" s="958" t="str">
        <x:v>execution_id</x:v>
      </x:c>
      <x:c r="E93" s="958" t="str">
        <x:v>单次用例执行主键</x:v>
      </x:c>
      <x:c r="F93" s="958" t="str">
        <x:v>UUID/字符串</x:v>
      </x:c>
      <x:c r="G93" s="958" t="str">
        <x:v>是</x:v>
      </x:c>
      <x:c r="H93" s="958" t="str">
        <x:v>任务分解后</x:v>
      </x:c>
      <x:c r="I93" s="958" t="str">
        <x:v>执行控制中心</x:v>
      </x:c>
      <x:c r="J93" s="958" t="str">
        <x:v>系统生成</x:v>
      </x:c>
      <x:c r="K93" s="958" t="str">
        <x:v>job_id/test_case_version_id</x:v>
      </x:c>
      <x:c r="L93" s="958" t="str">
        <x:v>全局唯一</x:v>
      </x:c>
      <x:c r="M93" s="958" t="str">
        <x:v>Execution</x:v>
      </x:c>
      <x:c r="N93" s="958" t="str">
        <x:v>queued/running/passed/failed/blocked/cancelled/timeout</x:v>
      </x:c>
      <x:c r="O93" s="958" t="str">
        <x:v>exe_01H...</x:v>
      </x:c>
      <x:c r="P93" s="959" t="str">
        <x:v>所有证据和报告关联该ID</x:v>
      </x:c>
    </x:row>
    <x:row r="94" ht="34" customHeight="1">
      <x:c r="A94" s="992" t="n">
        <x:v>5</x:v>
      </x:c>
      <x:c r="B94" s="993" t="str">
        <x:v>测试用例、执行、证据与反馈域</x:v>
      </x:c>
      <x:c r="C94" s="988" t="str">
        <x:v>Execution</x:v>
      </x:c>
      <x:c r="D94" s="988" t="str">
        <x:v>environment_id/retry_count/started_at/finished_at</x:v>
      </x:c>
      <x:c r="E94" s="988" t="str">
        <x:v>执行上下文与时间</x:v>
      </x:c>
      <x:c r="F94" s="988" t="str">
        <x:v>外键/整数/时间</x:v>
      </x:c>
      <x:c r="G94" s="988" t="str">
        <x:v>是</x:v>
      </x:c>
      <x:c r="H94" s="988" t="str">
        <x:v>执行过程</x:v>
      </x:c>
      <x:c r="I94" s="988" t="str">
        <x:v>执行控制/Runner</x:v>
      </x:c>
      <x:c r="J94" s="988" t="str">
        <x:v>调度与运行事件</x:v>
      </x:c>
      <x:c r="K94" s="988" t="str">
        <x:v>Environment</x:v>
      </x:c>
      <x:c r="L94" s="988" t="str">
        <x:v>多列索引</x:v>
      </x:c>
      <x:c r="M94" s="988" t="str">
        <x:v>Execution</x:v>
      </x:c>
      <x:c r="N94" s="988" t="str">
        <x:v>随状态</x:v>
      </x:c>
      <x:c r="O94" s="988" t="str">
        <x:v>env_staging/1/...</x:v>
      </x:c>
      <x:c r="P94" s="989" t="str">
        <x:v>状态更新必须幂等</x:v>
      </x:c>
    </x:row>
    <x:row r="95" ht="34" customHeight="1">
      <x:c r="A95" s="990" t="n">
        <x:v>5</x:v>
      </x:c>
      <x:c r="B95" s="991" t="str">
        <x:v>测试用例、执行、证据与反馈域</x:v>
      </x:c>
      <x:c r="C95" s="958" t="str">
        <x:v>RuntimeContext</x:v>
      </x:c>
      <x:c r="D95" s="958" t="str">
        <x:v>runtime_context_id</x:v>
      </x:c>
      <x:c r="E95" s="958" t="str">
        <x:v>运行时解析后的短生命周期上下文</x:v>
      </x:c>
      <x:c r="F95" s="958" t="str">
        <x:v>UUID/字符串</x:v>
      </x:c>
      <x:c r="G95" s="958" t="str">
        <x:v>是</x:v>
      </x:c>
      <x:c r="H95" s="958" t="str">
        <x:v>Runner启动前</x:v>
      </x:c>
      <x:c r="I95" s="958" t="str">
        <x:v>运行上下文服务</x:v>
      </x:c>
      <x:c r="J95" s="958" t="str">
        <x:v>资源快照解析</x:v>
      </x:c>
      <x:c r="K95" s="958" t="str">
        <x:v>execution_id</x:v>
      </x:c>
      <x:c r="L95" s="958" t="str">
        <x:v>全局唯一</x:v>
      </x:c>
      <x:c r="M95" s="958" t="str">
        <x:v>临时运行存储</x:v>
      </x:c>
      <x:c r="N95" s="958" t="str">
        <x:v>created/consumed/destroyed</x:v>
      </x:c>
      <x:c r="O95" s="958" t="str">
        <x:v>rtc_01H...</x:v>
      </x:c>
      <x:c r="P95" s="959" t="str">
        <x:v>敏感值执行后销毁</x:v>
      </x:c>
    </x:row>
    <x:row r="96" ht="34" customHeight="1">
      <x:c r="A96" s="992" t="n">
        <x:v>5</x:v>
      </x:c>
      <x:c r="B96" s="993" t="str">
        <x:v>测试用例、执行、证据与反馈域</x:v>
      </x:c>
      <x:c r="C96" s="988" t="str">
        <x:v>AssertionResult</x:v>
      </x:c>
      <x:c r="D96" s="988" t="str">
        <x:v>assertion_result_id</x:v>
      </x:c>
      <x:c r="E96" s="988" t="str">
        <x:v>单条断言结果主键</x:v>
      </x:c>
      <x:c r="F96" s="988" t="str">
        <x:v>UUID/字符串</x:v>
      </x:c>
      <x:c r="G96" s="988" t="str">
        <x:v>是</x:v>
      </x:c>
      <x:c r="H96" s="988" t="str">
        <x:v>断言执行后</x:v>
      </x:c>
      <x:c r="I96" s="988" t="str">
        <x:v>断言引擎</x:v>
      </x:c>
      <x:c r="J96" s="988" t="str">
        <x:v>Runner事件</x:v>
      </x:c>
      <x:c r="K96" s="988" t="str">
        <x:v>execution_id/step_id</x:v>
      </x:c>
      <x:c r="L96" s="988" t="str">
        <x:v>全局唯一</x:v>
      </x:c>
      <x:c r="M96" s="988" t="str">
        <x:v>AssertionResult</x:v>
      </x:c>
      <x:c r="N96" s="988" t="str">
        <x:v>passed/failed/skipped/error</x:v>
      </x:c>
      <x:c r="O96" s="988" t="str">
        <x:v>ar_01H...</x:v>
      </x:c>
      <x:c r="P96" s="989" t="str">
        <x:v>记录期望、实际和证据引用</x:v>
      </x:c>
    </x:row>
    <x:row r="97" ht="34" customHeight="1">
      <x:c r="A97" s="990" t="n">
        <x:v>5</x:v>
      </x:c>
      <x:c r="B97" s="991" t="str">
        <x:v>测试用例、执行、证据与反馈域</x:v>
      </x:c>
      <x:c r="C97" s="958" t="str">
        <x:v>Evidence</x:v>
      </x:c>
      <x:c r="D97" s="958" t="str">
        <x:v>evidence_id</x:v>
      </x:c>
      <x:c r="E97" s="958" t="str">
        <x:v>证据元数据主键</x:v>
      </x:c>
      <x:c r="F97" s="958" t="str">
        <x:v>UUID/字符串</x:v>
      </x:c>
      <x:c r="G97" s="958" t="str">
        <x:v>是</x:v>
      </x:c>
      <x:c r="H97" s="958" t="str">
        <x:v>Runner产生证据时</x:v>
      </x:c>
      <x:c r="I97" s="958" t="str">
        <x:v>证据服务</x:v>
      </x:c>
      <x:c r="J97" s="958" t="str">
        <x:v>系统生成</x:v>
      </x:c>
      <x:c r="K97" s="958" t="str">
        <x:v>execution_id/step/assertion</x:v>
      </x:c>
      <x:c r="L97" s="958" t="str">
        <x:v>全局唯一</x:v>
      </x:c>
      <x:c r="M97" s="958" t="str">
        <x:v>Evidence</x:v>
      </x:c>
      <x:c r="N97" s="958" t="str">
        <x:v>uploading/available/expired/deleted</x:v>
      </x:c>
      <x:c r="O97" s="958" t="str">
        <x:v>ev_01H...</x:v>
      </x:c>
      <x:c r="P97" s="959" t="str">
        <x:v>大文件存对象存储</x:v>
      </x:c>
    </x:row>
    <x:row r="98" ht="34" customHeight="1">
      <x:c r="A98" s="992" t="n">
        <x:v>5</x:v>
      </x:c>
      <x:c r="B98" s="993" t="str">
        <x:v>测试用例、执行、证据与反馈域</x:v>
      </x:c>
      <x:c r="C98" s="988" t="str">
        <x:v>Evidence</x:v>
      </x:c>
      <x:c r="D98" s="988" t="str">
        <x:v>object_ref/evidence_type/checksum</x:v>
      </x:c>
      <x:c r="E98" s="988" t="str">
        <x:v>对象引用、类型和校验值</x:v>
      </x:c>
      <x:c r="F98" s="988" t="str">
        <x:v>字符串/枚举</x:v>
      </x:c>
      <x:c r="G98" s="988" t="str">
        <x:v>是</x:v>
      </x:c>
      <x:c r="H98" s="988" t="str">
        <x:v>证据落存储时</x:v>
      </x:c>
      <x:c r="I98" s="988" t="str">
        <x:v>证据服务</x:v>
      </x:c>
      <x:c r="J98" s="988" t="str">
        <x:v>对象存储返回</x:v>
      </x:c>
      <x:c r="K98" s="988" t="str">
        <x:v>evidence_id</x:v>
      </x:c>
      <x:c r="L98" s="988" t="str">
        <x:v>checksum可索引</x:v>
      </x:c>
      <x:c r="M98" s="988" t="str">
        <x:v>Evidence</x:v>
      </x:c>
      <x:c r="N98" s="988" t="str">
        <x:v>随保留策略</x:v>
      </x:c>
      <x:c r="O98" s="988" t="str">
        <x:v>s3://.../trace.zip</x:v>
      </x:c>
      <x:c r="P98" s="989" t="str">
        <x:v>证据需脱敏和访问控制</x:v>
      </x:c>
    </x:row>
    <x:row r="99" ht="34" customHeight="1">
      <x:c r="A99" s="990" t="n">
        <x:v>5</x:v>
      </x:c>
      <x:c r="B99" s="991" t="str">
        <x:v>测试用例、执行、证据与反馈域</x:v>
      </x:c>
      <x:c r="C99" s="958" t="str">
        <x:v>Report</x:v>
      </x:c>
      <x:c r="D99" s="958" t="str">
        <x:v>report_id</x:v>
      </x:c>
      <x:c r="E99" s="958" t="str">
        <x:v>报告主键</x:v>
      </x:c>
      <x:c r="F99" s="958" t="str">
        <x:v>UUID/字符串</x:v>
      </x:c>
      <x:c r="G99" s="958" t="str">
        <x:v>是</x:v>
      </x:c>
      <x:c r="H99" s="958" t="str">
        <x:v>执行聚合完成时</x:v>
      </x:c>
      <x:c r="I99" s="958" t="str">
        <x:v>报告服务</x:v>
      </x:c>
      <x:c r="J99" s="958" t="str">
        <x:v>系统生成</x:v>
      </x:c>
      <x:c r="K99" s="958" t="str">
        <x:v>execution_job_id/execution_ids</x:v>
      </x:c>
      <x:c r="L99" s="958" t="str">
        <x:v>全局唯一</x:v>
      </x:c>
      <x:c r="M99" s="958" t="str">
        <x:v>Report</x:v>
      </x:c>
      <x:c r="N99" s="958" t="str">
        <x:v>generating/ready/failed</x:v>
      </x:c>
      <x:c r="O99" s="958" t="str">
        <x:v>rpt_01H...</x:v>
      </x:c>
      <x:c r="P99" s="959" t="str">
        <x:v>报告失败不改变执行结果</x:v>
      </x:c>
    </x:row>
    <x:row r="100" ht="34" customHeight="1">
      <x:c r="A100" s="992" t="n">
        <x:v>5</x:v>
      </x:c>
      <x:c r="B100" s="993" t="str">
        <x:v>测试用例、执行、证据与反馈域</x:v>
      </x:c>
      <x:c r="C100" s="988" t="str">
        <x:v>FailureAnalysis</x:v>
      </x:c>
      <x:c r="D100" s="988" t="str">
        <x:v>failure_analysis_id</x:v>
      </x:c>
      <x:c r="E100" s="988" t="str">
        <x:v>失败归因记录主键</x:v>
      </x:c>
      <x:c r="F100" s="988" t="str">
        <x:v>UUID/字符串</x:v>
      </x:c>
      <x:c r="G100" s="988" t="str">
        <x:v>否</x:v>
      </x:c>
      <x:c r="H100" s="988" t="str">
        <x:v>执行失败后</x:v>
      </x:c>
      <x:c r="I100" s="988" t="str">
        <x:v>分析服务/人工</x:v>
      </x:c>
      <x:c r="J100" s="988" t="str">
        <x:v>系统生成</x:v>
      </x:c>
      <x:c r="K100" s="988" t="str">
        <x:v>execution_id</x:v>
      </x:c>
      <x:c r="L100" s="988" t="str">
        <x:v>全局唯一</x:v>
      </x:c>
      <x:c r="M100" s="988" t="str">
        <x:v>FailureAnalysis</x:v>
      </x:c>
      <x:c r="N100" s="988" t="str">
        <x:v>pending/confirmed/dismissed</x:v>
      </x:c>
      <x:c r="O100" s="988" t="str">
        <x:v>fa_01H...</x:v>
      </x:c>
      <x:c r="P100" s="989" t="str">
        <x:v>允许人工修正自动归因</x:v>
      </x:c>
    </x:row>
    <x:row r="101" ht="34" customHeight="1">
      <x:c r="A101" s="990" t="n">
        <x:v>5</x:v>
      </x:c>
      <x:c r="B101" s="991" t="str">
        <x:v>测试用例、执行、证据与反馈域</x:v>
      </x:c>
      <x:c r="C101" s="958" t="str">
        <x:v>DefectLink</x:v>
      </x:c>
      <x:c r="D101" s="958" t="str">
        <x:v>defect_link_id/external_defect_id</x:v>
      </x:c>
      <x:c r="E101" s="958" t="str">
        <x:v>平台执行与外部缺陷关联</x:v>
      </x:c>
      <x:c r="F101" s="958" t="str">
        <x:v>UUID/字符串</x:v>
      </x:c>
      <x:c r="G101" s="958" t="str">
        <x:v>否</x:v>
      </x:c>
      <x:c r="H101" s="958" t="str">
        <x:v>创建/关联缺陷时</x:v>
      </x:c>
      <x:c r="I101" s="958" t="str">
        <x:v>缺陷集成服务</x:v>
      </x:c>
      <x:c r="J101" s="958" t="str">
        <x:v>外部系统返回</x:v>
      </x:c>
      <x:c r="K101" s="958" t="str">
        <x:v>requirement/asset/case/execution</x:v>
      </x:c>
      <x:c r="L101" s="958" t="str">
        <x:v>组合唯一</x:v>
      </x:c>
      <x:c r="M101" s="958" t="str">
        <x:v>DefectLink</x:v>
      </x:c>
      <x:c r="N101" s="958" t="str">
        <x:v>open/resolved/closed</x:v>
      </x:c>
      <x:c r="O101" s="958" t="str">
        <x:v>dl_01/JIRA-889</x:v>
      </x:c>
      <x:c r="P101" s="959" t="str">
        <x:v>必须携带完整追踪ID</x:v>
      </x:c>
    </x:row>
    <x:row r="102" ht="34" customHeight="1">
      <x:c r="A102" s="997" t="n">
        <x:v>6</x:v>
      </x:c>
      <x:c r="B102" s="998" t="str">
        <x:v>平台控制面</x:v>
      </x:c>
      <x:c r="C102" s="958" t="str">
        <x:v>Tenant</x:v>
      </x:c>
      <x:c r="D102" s="958" t="str">
        <x:v>tenant_id</x:v>
      </x:c>
      <x:c r="E102" s="958" t="str">
        <x:v>租户主键</x:v>
      </x:c>
      <x:c r="F102" s="958" t="str">
        <x:v>UUID/字符串</x:v>
      </x:c>
      <x:c r="G102" s="958" t="str">
        <x:v>条件必填</x:v>
      </x:c>
      <x:c r="H102" s="958" t="str">
        <x:v>租户创建时</x:v>
      </x:c>
      <x:c r="I102" s="958" t="str">
        <x:v>租户服务</x:v>
      </x:c>
      <x:c r="J102" s="958" t="str">
        <x:v>系统生成</x:v>
      </x:c>
      <x:c r="K102" s="958" t="str">
        <x:v>organization/project</x:v>
      </x:c>
      <x:c r="L102" s="958" t="str">
        <x:v>全局唯一</x:v>
      </x:c>
      <x:c r="M102" s="958" t="str">
        <x:v>Tenant</x:v>
      </x:c>
      <x:c r="N102" s="958" t="str">
        <x:v>active/suspended</x:v>
      </x:c>
      <x:c r="O102" s="958" t="str">
        <x:v>tenant_01</x:v>
      </x:c>
      <x:c r="P102" s="959" t="str">
        <x:v>单租户部署仍可预留</x:v>
      </x:c>
    </x:row>
    <x:row r="103" ht="34" customHeight="1">
      <x:c r="A103" s="999" t="n">
        <x:v>6</x:v>
      </x:c>
      <x:c r="B103" s="1000" t="str">
        <x:v>平台控制面</x:v>
      </x:c>
      <x:c r="C103" s="995" t="str">
        <x:v>Organization</x:v>
      </x:c>
      <x:c r="D103" s="995" t="str">
        <x:v>organization_id</x:v>
      </x:c>
      <x:c r="E103" s="995" t="str">
        <x:v>组织主键</x:v>
      </x:c>
      <x:c r="F103" s="995" t="str">
        <x:v>UUID/字符串</x:v>
      </x:c>
      <x:c r="G103" s="995" t="str">
        <x:v>否</x:v>
      </x:c>
      <x:c r="H103" s="995" t="str">
        <x:v>组织创建时</x:v>
      </x:c>
      <x:c r="I103" s="995" t="str">
        <x:v>组织服务</x:v>
      </x:c>
      <x:c r="J103" s="995" t="str">
        <x:v>系统生成</x:v>
      </x:c>
      <x:c r="K103" s="995" t="str">
        <x:v>tenant_id</x:v>
      </x:c>
      <x:c r="L103" s="995" t="str">
        <x:v>全局唯一</x:v>
      </x:c>
      <x:c r="M103" s="995" t="str">
        <x:v>Organization</x:v>
      </x:c>
      <x:c r="N103" s="995" t="str">
        <x:v>active/archived</x:v>
      </x:c>
      <x:c r="O103" s="995" t="str">
        <x:v>org_01</x:v>
      </x:c>
      <x:c r="P103" s="996" t="str">
        <x:v>与项目区分</x:v>
      </x:c>
    </x:row>
    <x:row r="104" ht="34" customHeight="1">
      <x:c r="A104" s="997" t="n">
        <x:v>6</x:v>
      </x:c>
      <x:c r="B104" s="998" t="str">
        <x:v>平台控制面</x:v>
      </x:c>
      <x:c r="C104" s="958" t="str">
        <x:v>User</x:v>
      </x:c>
      <x:c r="D104" s="958" t="str">
        <x:v>user_id</x:v>
      </x:c>
      <x:c r="E104" s="958" t="str">
        <x:v>用户主键</x:v>
      </x:c>
      <x:c r="F104" s="958" t="str">
        <x:v>UUID/字符串</x:v>
      </x:c>
      <x:c r="G104" s="958" t="str">
        <x:v>正式版必填</x:v>
      </x:c>
      <x:c r="H104" s="958" t="str">
        <x:v>用户首次登录/同步时</x:v>
      </x:c>
      <x:c r="I104" s="958" t="str">
        <x:v>认证服务</x:v>
      </x:c>
      <x:c r="J104" s="958" t="str">
        <x:v>SSO映射/系统生成</x:v>
      </x:c>
      <x:c r="K104" s="958" t="str">
        <x:v>tenant/project/role</x:v>
      </x:c>
      <x:c r="L104" s="958" t="str">
        <x:v>全局唯一</x:v>
      </x:c>
      <x:c r="M104" s="958" t="str">
        <x:v>User</x:v>
      </x:c>
      <x:c r="N104" s="958" t="str">
        <x:v>active/disabled</x:v>
      </x:c>
      <x:c r="O104" s="958" t="str">
        <x:v>usr_01</x:v>
      </x:c>
      <x:c r="P104" s="959" t="str">
        <x:v>敏感操作必须有用户身份</x:v>
      </x:c>
    </x:row>
    <x:row r="105" ht="34" customHeight="1">
      <x:c r="A105" s="999" t="n">
        <x:v>6</x:v>
      </x:c>
      <x:c r="B105" s="1000" t="str">
        <x:v>平台控制面</x:v>
      </x:c>
      <x:c r="C105" s="995" t="str">
        <x:v>Role</x:v>
      </x:c>
      <x:c r="D105" s="995" t="str">
        <x:v>role_id</x:v>
      </x:c>
      <x:c r="E105" s="995" t="str">
        <x:v>角色主键</x:v>
      </x:c>
      <x:c r="F105" s="995" t="str">
        <x:v>UUID/字符串</x:v>
      </x:c>
      <x:c r="G105" s="995" t="str">
        <x:v>否</x:v>
      </x:c>
      <x:c r="H105" s="995" t="str">
        <x:v>角色创建时</x:v>
      </x:c>
      <x:c r="I105" s="995" t="str">
        <x:v>权限服务</x:v>
      </x:c>
      <x:c r="J105" s="995" t="str">
        <x:v>系统生成</x:v>
      </x:c>
      <x:c r="K105" s="995" t="str">
        <x:v>permissions</x:v>
      </x:c>
      <x:c r="L105" s="995" t="str">
        <x:v>全局唯一</x:v>
      </x:c>
      <x:c r="M105" s="995" t="str">
        <x:v>Role</x:v>
      </x:c>
      <x:c r="N105" s="995" t="str">
        <x:v>active/disabled</x:v>
      </x:c>
      <x:c r="O105" s="995" t="str">
        <x:v>role_reviewer</x:v>
      </x:c>
      <x:c r="P105" s="996" t="str">
        <x:v>审核、资源管理、执行权限分离</x:v>
      </x:c>
    </x:row>
    <x:row r="106" ht="34" customHeight="1">
      <x:c r="A106" s="997" t="n">
        <x:v>6</x:v>
      </x:c>
      <x:c r="B106" s="998" t="str">
        <x:v>平台控制面</x:v>
      </x:c>
      <x:c r="C106" s="958" t="str">
        <x:v>Permission</x:v>
      </x:c>
      <x:c r="D106" s="958" t="str">
        <x:v>permission_code</x:v>
      </x:c>
      <x:c r="E106" s="958" t="str">
        <x:v>权限稳定编码</x:v>
      </x:c>
      <x:c r="F106" s="958" t="str">
        <x:v>字符串</x:v>
      </x:c>
      <x:c r="G106" s="958" t="str">
        <x:v>否</x:v>
      </x:c>
      <x:c r="H106" s="958" t="str">
        <x:v>权限注册时</x:v>
      </x:c>
      <x:c r="I106" s="958" t="str">
        <x:v>权限服务</x:v>
      </x:c>
      <x:c r="J106" s="958" t="str">
        <x:v>平台注册</x:v>
      </x:c>
      <x:c r="K106" s="958" t="str">
        <x:v>role_id</x:v>
      </x:c>
      <x:c r="L106" s="958" t="str">
        <x:v>全局唯一</x:v>
      </x:c>
      <x:c r="M106" s="958" t="str">
        <x:v>Permission Registry</x:v>
      </x:c>
      <x:c r="N106" s="958" t="str">
        <x:v>active/deprecated</x:v>
      </x:c>
      <x:c r="O106" s="958" t="str">
        <x:v>asset.review</x:v>
      </x:c>
      <x:c r="P106" s="959" t="str">
        <x:v>不得以页面按钮代替后端权限</x:v>
      </x:c>
    </x:row>
    <x:row r="107" ht="34" customHeight="1">
      <x:c r="A107" s="999" t="n">
        <x:v>6</x:v>
      </x:c>
      <x:c r="B107" s="1000" t="str">
        <x:v>平台控制面</x:v>
      </x:c>
      <x:c r="C107" s="995" t="str">
        <x:v>TraceContext</x:v>
      </x:c>
      <x:c r="D107" s="995" t="str">
        <x:v>trace_id</x:v>
      </x:c>
      <x:c r="E107" s="995" t="str">
        <x:v>跨服务链路主键</x:v>
      </x:c>
      <x:c r="F107" s="995" t="str">
        <x:v>UUID/字符串</x:v>
      </x:c>
      <x:c r="G107" s="995" t="str">
        <x:v>是</x:v>
      </x:c>
      <x:c r="H107" s="995" t="str">
        <x:v>入口请求时</x:v>
      </x:c>
      <x:c r="I107" s="995" t="str">
        <x:v>API Gateway</x:v>
      </x:c>
      <x:c r="J107" s="995" t="str">
        <x:v>系统生成/标准trace header</x:v>
      </x:c>
      <x:c r="K107" s="995" t="str">
        <x:v>request/batch/attempt/execution</x:v>
      </x:c>
      <x:c r="L107" s="995" t="str">
        <x:v>全局索引</x:v>
      </x:c>
      <x:c r="M107" s="995" t="str">
        <x:v>日志/Trace系统</x:v>
      </x:c>
      <x:c r="N107" s="995" t="str">
        <x:v>请求生命周期</x:v>
      </x:c>
      <x:c r="O107" s="995" t="str">
        <x:v>tr_01H...</x:v>
      </x:c>
      <x:c r="P107" s="996" t="str">
        <x:v>必须跨异步消息传播</x:v>
      </x:c>
    </x:row>
    <x:row r="108" ht="34" customHeight="1">
      <x:c r="A108" s="997" t="n">
        <x:v>6</x:v>
      </x:c>
      <x:c r="B108" s="998" t="str">
        <x:v>平台控制面</x:v>
      </x:c>
      <x:c r="C108" s="958" t="str">
        <x:v>TraceContext</x:v>
      </x:c>
      <x:c r="D108" s="958" t="str">
        <x:v>request_id</x:v>
      </x:c>
      <x:c r="E108" s="958" t="str">
        <x:v>单入口请求主键</x:v>
      </x:c>
      <x:c r="F108" s="958" t="str">
        <x:v>UUID/字符串</x:v>
      </x:c>
      <x:c r="G108" s="958" t="str">
        <x:v>是</x:v>
      </x:c>
      <x:c r="H108" s="958" t="str">
        <x:v>入口请求时</x:v>
      </x:c>
      <x:c r="I108" s="958" t="str">
        <x:v>API Gateway</x:v>
      </x:c>
      <x:c r="J108" s="958" t="str">
        <x:v>系统生成</x:v>
      </x:c>
      <x:c r="K108" s="958" t="str">
        <x:v>trace_id</x:v>
      </x:c>
      <x:c r="L108" s="958" t="str">
        <x:v>全局唯一</x:v>
      </x:c>
      <x:c r="M108" s="958" t="str">
        <x:v>请求日志</x:v>
      </x:c>
      <x:c r="N108" s="958" t="str">
        <x:v>请求生命周期</x:v>
      </x:c>
      <x:c r="O108" s="958" t="str">
        <x:v>rq_01H...</x:v>
      </x:c>
      <x:c r="P108" s="959" t="str">
        <x:v>可一trace包含多个内部请求</x:v>
      </x:c>
    </x:row>
    <x:row r="109" ht="34" customHeight="1">
      <x:c r="A109" s="999" t="n">
        <x:v>6</x:v>
      </x:c>
      <x:c r="B109" s="1000" t="str">
        <x:v>平台控制面</x:v>
      </x:c>
      <x:c r="C109" s="995" t="str">
        <x:v>AuditEvent</x:v>
      </x:c>
      <x:c r="D109" s="995" t="str">
        <x:v>audit_event_id</x:v>
      </x:c>
      <x:c r="E109" s="995" t="str">
        <x:v>审计事件主键</x:v>
      </x:c>
      <x:c r="F109" s="995" t="str">
        <x:v>UUID/字符串</x:v>
      </x:c>
      <x:c r="G109" s="995" t="str">
        <x:v>是</x:v>
      </x:c>
      <x:c r="H109" s="995" t="str">
        <x:v>关键操作发生时</x:v>
      </x:c>
      <x:c r="I109" s="995" t="str">
        <x:v>审计服务</x:v>
      </x:c>
      <x:c r="J109" s="995" t="str">
        <x:v>系统生成</x:v>
      </x:c>
      <x:c r="K109" s="995" t="str">
        <x:v>user/project/entity/trace</x:v>
      </x:c>
      <x:c r="L109" s="995" t="str">
        <x:v>全局唯一</x:v>
      </x:c>
      <x:c r="M109" s="995" t="str">
        <x:v>AuditEvent</x:v>
      </x:c>
      <x:c r="N109" s="995" t="str">
        <x:v>immutable</x:v>
      </x:c>
      <x:c r="O109" s="995" t="str">
        <x:v>aud_01H...</x:v>
      </x:c>
      <x:c r="P109" s="996" t="str">
        <x:v>保存before/after摘要并脱敏</x:v>
      </x:c>
    </x:row>
    <x:row r="110" ht="34" customHeight="1">
      <x:c r="A110" s="997" t="n">
        <x:v>6</x:v>
      </x:c>
      <x:c r="B110" s="998" t="str">
        <x:v>平台控制面</x:v>
      </x:c>
      <x:c r="C110" s="958" t="str">
        <x:v>AsyncJob</x:v>
      </x:c>
      <x:c r="D110" s="958" t="str">
        <x:v>job_id</x:v>
      </x:c>
      <x:c r="E110" s="958" t="str">
        <x:v>通用异步任务主键</x:v>
      </x:c>
      <x:c r="F110" s="958" t="str">
        <x:v>UUID/字符串</x:v>
      </x:c>
      <x:c r="G110" s="958" t="str">
        <x:v>是</x:v>
      </x:c>
      <x:c r="H110" s="958" t="str">
        <x:v>提交异步工作时</x:v>
      </x:c>
      <x:c r="I110" s="958" t="str">
        <x:v>Job服务</x:v>
      </x:c>
      <x:c r="J110" s="958" t="str">
        <x:v>系统生成</x:v>
      </x:c>
      <x:c r="K110" s="958" t="str">
        <x:v>trace_id/entity_id</x:v>
      </x:c>
      <x:c r="L110" s="958" t="str">
        <x:v>全局唯一</x:v>
      </x:c>
      <x:c r="M110" s="958" t="str">
        <x:v>AsyncJob</x:v>
      </x:c>
      <x:c r="N110" s="958" t="str">
        <x:v>queued/running/retrying/succeeded/failed/dead_letter</x:v>
      </x:c>
      <x:c r="O110" s="958" t="str">
        <x:v>aj_01H...</x:v>
      </x:c>
      <x:c r="P110" s="959" t="str">
        <x:v>与ExecutionJob不同</x:v>
      </x:c>
    </x:row>
    <x:row r="111" ht="34" customHeight="1">
      <x:c r="A111" s="999" t="n">
        <x:v>6</x:v>
      </x:c>
      <x:c r="B111" s="1000" t="str">
        <x:v>平台控制面</x:v>
      </x:c>
      <x:c r="C111" s="995" t="str">
        <x:v>DomainEvent</x:v>
      </x:c>
      <x:c r="D111" s="995" t="str">
        <x:v>event_id</x:v>
      </x:c>
      <x:c r="E111" s="995" t="str">
        <x:v>领域事件主键</x:v>
      </x:c>
      <x:c r="F111" s="995" t="str">
        <x:v>UUID/字符串</x:v>
      </x:c>
      <x:c r="G111" s="995" t="str">
        <x:v>是</x:v>
      </x:c>
      <x:c r="H111" s="995" t="str">
        <x:v>业务状态变化时</x:v>
      </x:c>
      <x:c r="I111" s="995" t="str">
        <x:v>领域服务</x:v>
      </x:c>
      <x:c r="J111" s="995" t="str">
        <x:v>系统生成</x:v>
      </x:c>
      <x:c r="K111" s="995" t="str">
        <x:v>aggregate_id/version</x:v>
      </x:c>
      <x:c r="L111" s="995" t="str">
        <x:v>全局唯一</x:v>
      </x:c>
      <x:c r="M111" s="995" t="str">
        <x:v>Event Log</x:v>
      </x:c>
      <x:c r="N111" s="995" t="str">
        <x:v>published/consumed/failed</x:v>
      </x:c>
      <x:c r="O111" s="995" t="str">
        <x:v>evt_01H...</x:v>
      </x:c>
      <x:c r="P111" s="996" t="str">
        <x:v>事件Schema需版本化</x:v>
      </x:c>
    </x:row>
    <x:row r="112" ht="34" customHeight="1">
      <x:c r="A112" s="997" t="n">
        <x:v>6</x:v>
      </x:c>
      <x:c r="B112" s="998" t="str">
        <x:v>平台控制面</x:v>
      </x:c>
      <x:c r="C112" s="958" t="str">
        <x:v>FeatureFlag</x:v>
      </x:c>
      <x:c r="D112" s="958" t="str">
        <x:v>feature_flag_id/flag_key</x:v>
      </x:c>
      <x:c r="E112" s="958" t="str">
        <x:v>灰度开关主键和稳定编码</x:v>
      </x:c>
      <x:c r="F112" s="958" t="str">
        <x:v>UUID/字符串</x:v>
      </x:c>
      <x:c r="G112" s="958" t="str">
        <x:v>否</x:v>
      </x:c>
      <x:c r="H112" s="958" t="str">
        <x:v>功能上线前</x:v>
      </x:c>
      <x:c r="I112" s="958" t="str">
        <x:v>平台配置服务</x:v>
      </x:c>
      <x:c r="J112" s="958" t="str">
        <x:v>系统生成/人工配置</x:v>
      </x:c>
      <x:c r="K112" s="958" t="str">
        <x:v>project/user</x:v>
      </x:c>
      <x:c r="L112" s="958" t="str">
        <x:v>flag_key唯一</x:v>
      </x:c>
      <x:c r="M112" s="958" t="str">
        <x:v>Feature Flag Store</x:v>
      </x:c>
      <x:c r="N112" s="958" t="str">
        <x:v>on/off/percentage/rules</x:v>
      </x:c>
      <x:c r="O112" s="958" t="str">
        <x:v>ff_v2_asset_intake</x:v>
      </x:c>
      <x:c r="P112" s="959" t="str">
        <x:v>变更需审计</x:v>
      </x:c>
    </x:row>
    <x:row r="113" ht="34" customHeight="1">
      <x:c r="A113" s="999" t="n">
        <x:v>6</x:v>
      </x:c>
      <x:c r="B113" s="1000" t="str">
        <x:v>平台控制面</x:v>
      </x:c>
      <x:c r="C113" s="995" t="str">
        <x:v>ApiClient</x:v>
      </x:c>
      <x:c r="D113" s="995" t="str">
        <x:v>api_client_id</x:v>
      </x:c>
      <x:c r="E113" s="995" t="str">
        <x:v>API/CI客户端主键</x:v>
      </x:c>
      <x:c r="F113" s="995" t="str">
        <x:v>UUID/字符串</x:v>
      </x:c>
      <x:c r="G113" s="995" t="str">
        <x:v>否</x:v>
      </x:c>
      <x:c r="H113" s="995" t="str">
        <x:v>客户端登记时</x:v>
      </x:c>
      <x:c r="I113" s="995" t="str">
        <x:v>API Gateway</x:v>
      </x:c>
      <x:c r="J113" s="995" t="str">
        <x:v>系统生成</x:v>
      </x:c>
      <x:c r="K113" s="995" t="str">
        <x:v>project/credentials</x:v>
      </x:c>
      <x:c r="L113" s="995" t="str">
        <x:v>全局唯一</x:v>
      </x:c>
      <x:c r="M113" s="995" t="str">
        <x:v>API Client</x:v>
      </x:c>
      <x:c r="N113" s="995" t="str">
        <x:v>active/revoked</x:v>
      </x:c>
      <x:c r="O113" s="995" t="str">
        <x:v>cli_gitlab</x:v>
      </x:c>
      <x:c r="P113" s="996" t="str">
        <x:v>使用短期Token或密钥引用</x:v>
      </x:c>
    </x:row>
    <x:row r="114" ht="34" customHeight="1">
      <x:c r="A114" s="997" t="n">
        <x:v>6</x:v>
      </x:c>
      <x:c r="B114" s="998" t="str">
        <x:v>平台控制面</x:v>
      </x:c>
      <x:c r="C114" s="958" t="str">
        <x:v>Quota</x:v>
      </x:c>
      <x:c r="D114" s="958" t="str">
        <x:v>quota_id</x:v>
      </x:c>
      <x:c r="E114" s="958" t="str">
        <x:v>项目配额主键</x:v>
      </x:c>
      <x:c r="F114" s="958" t="str">
        <x:v>UUID/字符串</x:v>
      </x:c>
      <x:c r="G114" s="958" t="str">
        <x:v>否</x:v>
      </x:c>
      <x:c r="H114" s="958" t="str">
        <x:v>配额配置时</x:v>
      </x:c>
      <x:c r="I114" s="958" t="str">
        <x:v>平台治理服务</x:v>
      </x:c>
      <x:c r="J114" s="958" t="str">
        <x:v>系统生成</x:v>
      </x:c>
      <x:c r="K114" s="958" t="str">
        <x:v>project/resource_type</x:v>
      </x:c>
      <x:c r="L114" s="958" t="str">
        <x:v>组合唯一</x:v>
      </x:c>
      <x:c r="M114" s="958" t="str">
        <x:v>Quota Store</x:v>
      </x:c>
      <x:c r="N114" s="958" t="str">
        <x:v>active</x:v>
      </x:c>
      <x:c r="O114" s="958" t="str">
        <x:v>quota_ai_daily</x:v>
      </x:c>
      <x:c r="P114" s="959" t="str">
        <x:v>限制AI、转换、Runner并发</x:v>
      </x:c>
    </x:row>
    <x:row r="115" ht="34" customHeight="1">
      <x:c r="A115" s="1007" t="n">
        <x:v>7</x:v>
      </x:c>
      <x:c r="B115" s="1008" t="str">
        <x:v>技术基础设施域</x:v>
      </x:c>
      <x:c r="C115" s="958" t="str">
        <x:v>Deployment</x:v>
      </x:c>
      <x:c r="D115" s="958" t="str">
        <x:v>deployment_id</x:v>
      </x:c>
      <x:c r="E115" s="958" t="str">
        <x:v>一次部署主键</x:v>
      </x:c>
      <x:c r="F115" s="958" t="str">
        <x:v>字符串</x:v>
      </x:c>
      <x:c r="G115" s="958" t="str">
        <x:v>是</x:v>
      </x:c>
      <x:c r="H115" s="958" t="str">
        <x:v>CI/CD部署时</x:v>
      </x:c>
      <x:c r="I115" s="958" t="str">
        <x:v>流水线</x:v>
      </x:c>
      <x:c r="J115" s="958" t="str">
        <x:v>系统生成</x:v>
      </x:c>
      <x:c r="K115" s="958" t="str">
        <x:v>service/version/environment</x:v>
      </x:c>
      <x:c r="L115" s="958" t="str">
        <x:v>全局唯一</x:v>
      </x:c>
      <x:c r="M115" s="958" t="str">
        <x:v>Deployment Log</x:v>
      </x:c>
      <x:c r="N115" s="958" t="str">
        <x:v>pending/running/succeeded/rolled_back/failed</x:v>
      </x:c>
      <x:c r="O115" s="958" t="str">
        <x:v>dep_2026...</x:v>
      </x:c>
      <x:c r="P115" s="959" t="str">
        <x:v>可追踪代码版本和配置版本</x:v>
      </x:c>
    </x:row>
    <x:row r="116" ht="34" customHeight="1">
      <x:c r="A116" s="1009" t="n">
        <x:v>7</x:v>
      </x:c>
      <x:c r="B116" s="1010" t="str">
        <x:v>技术基础设施域</x:v>
      </x:c>
      <x:c r="C116" s="1002" t="str">
        <x:v>ServiceArtifact</x:v>
      </x:c>
      <x:c r="D116" s="1002" t="str">
        <x:v>artifact_id/image_digest</x:v>
      </x:c>
      <x:c r="E116" s="1002" t="str">
        <x:v>制品或镜像不可变标识</x:v>
      </x:c>
      <x:c r="F116" s="1002" t="str">
        <x:v>字符串</x:v>
      </x:c>
      <x:c r="G116" s="1002" t="str">
        <x:v>是</x:v>
      </x:c>
      <x:c r="H116" s="1002" t="str">
        <x:v>构建时</x:v>
      </x:c>
      <x:c r="I116" s="1002" t="str">
        <x:v>CI/CD</x:v>
      </x:c>
      <x:c r="J116" s="1002" t="str">
        <x:v>镜像仓库返回</x:v>
      </x:c>
      <x:c r="K116" s="1002" t="str">
        <x:v>service/version</x:v>
      </x:c>
      <x:c r="L116" s="1002" t="str">
        <x:v>digest唯一</x:v>
      </x:c>
      <x:c r="M116" s="1002" t="str">
        <x:v>Artifact Registry</x:v>
      </x:c>
      <x:c r="N116" s="1002" t="str">
        <x:v>available/retired</x:v>
      </x:c>
      <x:c r="O116" s="1002" t="str">
        <x:v>sha256:...</x:v>
      </x:c>
      <x:c r="P116" s="1003" t="str">
        <x:v>生产部署按digest，不按latest</x:v>
      </x:c>
    </x:row>
    <x:row r="117" ht="34" customHeight="1">
      <x:c r="A117" s="1007" t="n">
        <x:v>7</x:v>
      </x:c>
      <x:c r="B117" s="1008" t="str">
        <x:v>技术基础设施域</x:v>
      </x:c>
      <x:c r="C117" s="958" t="str">
        <x:v>DatabaseMigration</x:v>
      </x:c>
      <x:c r="D117" s="958" t="str">
        <x:v>migration_id</x:v>
      </x:c>
      <x:c r="E117" s="958" t="str">
        <x:v>数据库迁移版本</x:v>
      </x:c>
      <x:c r="F117" s="958" t="str">
        <x:v>字符串</x:v>
      </x:c>
      <x:c r="G117" s="958" t="str">
        <x:v>是</x:v>
      </x:c>
      <x:c r="H117" s="958" t="str">
        <x:v>Schema变更时</x:v>
      </x:c>
      <x:c r="I117" s="958" t="str">
        <x:v>开发/CI</x:v>
      </x:c>
      <x:c r="J117" s="958" t="str">
        <x:v>迁移文件名</x:v>
      </x:c>
      <x:c r="K117" s="958" t="str">
        <x:v>service/schema</x:v>
      </x:c>
      <x:c r="L117" s="958" t="str">
        <x:v>全局唯一</x:v>
      </x:c>
      <x:c r="M117" s="958" t="str">
        <x:v>Migration History</x:v>
      </x:c>
      <x:c r="N117" s="958" t="str">
        <x:v>pending/applied/rolled_back/failed</x:v>
      </x:c>
      <x:c r="O117" s="958" t="str">
        <x:v>20260712_001</x:v>
      </x:c>
      <x:c r="P117" s="959" t="str">
        <x:v>禁止手工改生产Schema</x:v>
      </x:c>
    </x:row>
    <x:row r="118" ht="34" customHeight="1">
      <x:c r="A118" s="1009" t="n">
        <x:v>7</x:v>
      </x:c>
      <x:c r="B118" s="1010" t="str">
        <x:v>技术基础设施域</x:v>
      </x:c>
      <x:c r="C118" s="1002" t="str">
        <x:v>Message</x:v>
      </x:c>
      <x:c r="D118" s="1002" t="str">
        <x:v>message_id/correlation_id</x:v>
      </x:c>
      <x:c r="E118" s="1002" t="str">
        <x:v>消息ID和关联ID</x:v>
      </x:c>
      <x:c r="F118" s="1002" t="str">
        <x:v>字符串</x:v>
      </x:c>
      <x:c r="G118" s="1002" t="str">
        <x:v>是</x:v>
      </x:c>
      <x:c r="H118" s="1002" t="str">
        <x:v>消息发布时</x:v>
      </x:c>
      <x:c r="I118" s="1002" t="str">
        <x:v>生产者</x:v>
      </x:c>
      <x:c r="J118" s="1002" t="str">
        <x:v>系统生成</x:v>
      </x:c>
      <x:c r="K118" s="1002" t="str">
        <x:v>trace_id/job_id</x:v>
      </x:c>
      <x:c r="L118" s="1002" t="str">
        <x:v>message_id唯一</x:v>
      </x:c>
      <x:c r="M118" s="1002" t="str">
        <x:v>MQ元数据</x:v>
      </x:c>
      <x:c r="N118" s="1002" t="str">
        <x:v>published/consumed/dead_letter</x:v>
      </x:c>
      <x:c r="O118" s="1002" t="str">
        <x:v>msg_01H...</x:v>
      </x:c>
      <x:c r="P118" s="1003" t="str">
        <x:v>消费必须幂等</x:v>
      </x:c>
    </x:row>
    <x:row r="119" ht="34" customHeight="1">
      <x:c r="A119" s="1007" t="n">
        <x:v>7</x:v>
      </x:c>
      <x:c r="B119" s="1008" t="str">
        <x:v>技术基础设施域</x:v>
      </x:c>
      <x:c r="C119" s="958" t="str">
        <x:v>ObjectStorage</x:v>
      </x:c>
      <x:c r="D119" s="958" t="str">
        <x:v>object_ref</x:v>
      </x:c>
      <x:c r="E119" s="958" t="str">
        <x:v>文档/证据/报告对象引用</x:v>
      </x:c>
      <x:c r="F119" s="958" t="str">
        <x:v>URI字符串</x:v>
      </x:c>
      <x:c r="G119" s="958" t="str">
        <x:v>是</x:v>
      </x:c>
      <x:c r="H119" s="958" t="str">
        <x:v>对象上传成功时</x:v>
      </x:c>
      <x:c r="I119" s="958" t="str">
        <x:v>存储适配器</x:v>
      </x:c>
      <x:c r="J119" s="958" t="str">
        <x:v>对象存储返回</x:v>
      </x:c>
      <x:c r="K119" s="958" t="str">
        <x:v>业务实体ID</x:v>
      </x:c>
      <x:c r="L119" s="958" t="str">
        <x:v>bucket+key唯一</x:v>
      </x:c>
      <x:c r="M119" s="958" t="str">
        <x:v>对象存储</x:v>
      </x:c>
      <x:c r="N119" s="958" t="str">
        <x:v>available/expired/deleted</x:v>
      </x:c>
      <x:c r="O119" s="958" t="str">
        <x:v>s3://bucket/key</x:v>
      </x:c>
      <x:c r="P119" s="959" t="str">
        <x:v>DB只保存引用和checksum</x:v>
      </x:c>
    </x:row>
    <x:row r="120" ht="34" customHeight="1">
      <x:c r="A120" s="1009" t="n">
        <x:v>7</x:v>
      </x:c>
      <x:c r="B120" s="1010" t="str">
        <x:v>技术基础设施域</x:v>
      </x:c>
      <x:c r="C120" s="1002" t="str">
        <x:v>ConfigVersion</x:v>
      </x:c>
      <x:c r="D120" s="1002" t="str">
        <x:v>config_version_id</x:v>
      </x:c>
      <x:c r="E120" s="1002" t="str">
        <x:v>配置版本主键</x:v>
      </x:c>
      <x:c r="F120" s="1002" t="str">
        <x:v>字符串</x:v>
      </x:c>
      <x:c r="G120" s="1002" t="str">
        <x:v>否</x:v>
      </x:c>
      <x:c r="H120" s="1002" t="str">
        <x:v>配置发布时</x:v>
      </x:c>
      <x:c r="I120" s="1002" t="str">
        <x:v>配置中心</x:v>
      </x:c>
      <x:c r="J120" s="1002" t="str">
        <x:v>系统生成</x:v>
      </x:c>
      <x:c r="K120" s="1002" t="str">
        <x:v>environment/service</x:v>
      </x:c>
      <x:c r="L120" s="1002" t="str">
        <x:v>组合唯一</x:v>
      </x:c>
      <x:c r="M120" s="1002" t="str">
        <x:v>Config Store</x:v>
      </x:c>
      <x:c r="N120" s="1002" t="str">
        <x:v>draft/published/rolled_back</x:v>
      </x:c>
      <x:c r="O120" s="1002" t="str">
        <x:v>cfg_42</x:v>
      </x:c>
      <x:c r="P120" s="1003" t="str">
        <x:v>模型/阈值/策略配置均可回滚</x:v>
      </x:c>
    </x:row>
    <x:row r="121" ht="34" customHeight="1">
      <x:c r="A121" s="1007" t="n">
        <x:v>7</x:v>
      </x:c>
      <x:c r="B121" s="1008" t="str">
        <x:v>技术基础设施域</x:v>
      </x:c>
      <x:c r="C121" s="958" t="str">
        <x:v>SecretVersion</x:v>
      </x:c>
      <x:c r="D121" s="958" t="str">
        <x:v>secret_version_ref</x:v>
      </x:c>
      <x:c r="E121" s="958" t="str">
        <x:v>密钥版本引用</x:v>
      </x:c>
      <x:c r="F121" s="958" t="str">
        <x:v>字符串</x:v>
      </x:c>
      <x:c r="G121" s="958" t="str">
        <x:v>否</x:v>
      </x:c>
      <x:c r="H121" s="958" t="str">
        <x:v>密钥创建/轮换时</x:v>
      </x:c>
      <x:c r="I121" s="958" t="str">
        <x:v>Vault/KMS</x:v>
      </x:c>
      <x:c r="J121" s="958" t="str">
        <x:v>外部系统返回</x:v>
      </x:c>
      <x:c r="K121" s="958" t="str">
        <x:v>credential_ref</x:v>
      </x:c>
      <x:c r="L121" s="958" t="str">
        <x:v>外部唯一</x:v>
      </x:c>
      <x:c r="M121" s="958" t="str">
        <x:v>Vault/KMS</x:v>
      </x:c>
      <x:c r="N121" s="958" t="str">
        <x:v>active/rotated/revoked</x:v>
      </x:c>
      <x:c r="O121" s="958" t="str">
        <x:v>vault:path#v3</x:v>
      </x:c>
      <x:c r="P121" s="959" t="str">
        <x:v>业务库不保存密钥值</x:v>
      </x:c>
    </x:row>
    <x:row r="122" ht="34" customHeight="1">
      <x:c r="A122" s="1009" t="n">
        <x:v>7</x:v>
      </x:c>
      <x:c r="B122" s="1010" t="str">
        <x:v>技术基础设施域</x:v>
      </x:c>
      <x:c r="C122" s="1002" t="str">
        <x:v>Backup</x:v>
      </x:c>
      <x:c r="D122" s="1002" t="str">
        <x:v>backup_id</x:v>
      </x:c>
      <x:c r="E122" s="1002" t="str">
        <x:v>备份任务/制品主键</x:v>
      </x:c>
      <x:c r="F122" s="1002" t="str">
        <x:v>字符串</x:v>
      </x:c>
      <x:c r="G122" s="1002" t="str">
        <x:v>否</x:v>
      </x:c>
      <x:c r="H122" s="1002" t="str">
        <x:v>备份执行时</x:v>
      </x:c>
      <x:c r="I122" s="1002" t="str">
        <x:v>备份系统</x:v>
      </x:c>
      <x:c r="J122" s="1002" t="str">
        <x:v>系统生成</x:v>
      </x:c>
      <x:c r="K122" s="1002" t="str">
        <x:v>storage target</x:v>
      </x:c>
      <x:c r="L122" s="1002" t="str">
        <x:v>全局唯一</x:v>
      </x:c>
      <x:c r="M122" s="1002" t="str">
        <x:v>Backup Catalog</x:v>
      </x:c>
      <x:c r="N122" s="1002" t="str">
        <x:v>running/succeeded/failed/expired</x:v>
      </x:c>
      <x:c r="O122" s="1002" t="str">
        <x:v>bak_20260712</x:v>
      </x:c>
      <x:c r="P122" s="1003" t="str">
        <x:v>需记录RPO/RTO和恢复验证</x:v>
      </x:c>
    </x:row>
    <x:row r="123" ht="34" customHeight="1">
      <x:c r="A123" s="1011" t="n">
        <x:v>7</x:v>
      </x:c>
      <x:c r="B123" s="1012" t="str">
        <x:v>技术基础设施域</x:v>
      </x:c>
      <x:c r="C123" s="1005" t="str">
        <x:v>Observability</x:v>
      </x:c>
      <x:c r="D123" s="1005" t="str">
        <x:v>service_name/environment/trace_id/project_id</x:v>
      </x:c>
      <x:c r="E123" s="1005" t="str">
        <x:v>统一日志指标标签</x:v>
      </x:c>
      <x:c r="F123" s="1005" t="str">
        <x:v>字符串集合</x:v>
      </x:c>
      <x:c r="G123" s="1005" t="str">
        <x:v>是</x:v>
      </x:c>
      <x:c r="H123" s="1005" t="str">
        <x:v>服务运行时</x:v>
      </x:c>
      <x:c r="I123" s="1005" t="str">
        <x:v>各服务SDK</x:v>
      </x:c>
      <x:c r="J123" s="1005" t="str">
        <x:v>运行上下文</x:v>
      </x:c>
      <x:c r="K123" s="1005" t="str">
        <x:v>日志/指标/Trace</x:v>
      </x:c>
      <x:c r="L123" s="1005" t="str">
        <x:v>标签索引</x:v>
      </x:c>
      <x:c r="M123" s="1005" t="str">
        <x:v>可观测性平台</x:v>
      </x:c>
      <x:c r="N123" s="1005" t="str">
        <x:v>运行生命周期</x:v>
      </x:c>
      <x:c r="O123" s="1005" t="str">
        <x:v>asset-service/staging/tr_...</x:v>
      </x:c>
      <x:c r="P123" s="1006" t="str">
        <x:v>不得写入明文敏感数据</x:v>
      </x:c>
    </x:row>
    <x:row r="124" ht="34" customHeight="1">
      <x:c r="A124" s="1314" t="n">
        <x:v>1</x:v>
      </x:c>
      <x:c r="B124" s="1315" t="str">
        <x:v>多元输入与自然语言生成域</x:v>
      </x:c>
      <x:c r="C124" s="1315" t="str">
        <x:v>RequirementVersion</x:v>
      </x:c>
      <x:c r="D124" s="1315" t="str">
        <x:v>requirement_version_id</x:v>
      </x:c>
      <x:c r="E124" s="1315" t="str">
        <x:v>需求内容版本主键</x:v>
      </x:c>
      <x:c r="F124" s="1315" t="str">
        <x:v>UUID/字符串</x:v>
      </x:c>
      <x:c r="G124" s="1315" t="str">
        <x:v>是</x:v>
      </x:c>
      <x:c r="H124" s="1315" t="str">
        <x:v>需求首次创建及每次变更时</x:v>
      </x:c>
      <x:c r="I124" s="1315" t="str">
        <x:v>需求服务</x:v>
      </x:c>
      <x:c r="J124" s="1315" t="str">
        <x:v>系统生成</x:v>
      </x:c>
      <x:c r="K124" s="1315" t="str">
        <x:v>requirement_id</x:v>
      </x:c>
      <x:c r="L124" s="1315" t="str">
        <x:v>requirement_id + version_no 唯一</x:v>
      </x:c>
      <x:c r="M124" s="1315" t="str">
        <x:v>RequirementVersion</x:v>
      </x:c>
      <x:c r="N124" s="1315" t="str">
        <x:v>draft/effective/superseded</x:v>
      </x:c>
      <x:c r="O124" s="1315" t="str">
        <x:v>reqv_01H...</x:v>
      </x:c>
      <x:c r="P124" s="1316" t="str">
        <x:v>GenerationContext和资产来源必须绑定明确需求版本</x:v>
      </x:c>
    </x:row>
    <x:row r="125" ht="34" customHeight="1">
      <x:c r="A125" s="1325" t="n">
        <x:v>1</x:v>
      </x:c>
      <x:c r="B125" s="1326" t="str">
        <x:v>多元输入与自然语言生成域</x:v>
      </x:c>
      <x:c r="C125" s="1326" t="str">
        <x:v>RequirementVersion</x:v>
      </x:c>
      <x:c r="D125" s="1326" t="str">
        <x:v>requirement_version_no/content_checksum/change_summary</x:v>
      </x:c>
      <x:c r="E125" s="1326" t="str">
        <x:v>需求版本号、内容校验值和变更摘要</x:v>
      </x:c>
      <x:c r="F125" s="1326" t="str">
        <x:v>整数/字符串/文本</x:v>
      </x:c>
      <x:c r="G125" s="1326" t="str">
        <x:v>是</x:v>
      </x:c>
      <x:c r="H125" s="1326" t="str">
        <x:v>保存需求版本时</x:v>
      </x:c>
      <x:c r="I125" s="1326" t="str">
        <x:v>需求服务</x:v>
      </x:c>
      <x:c r="J125" s="1326" t="str">
        <x:v>需求正文计算/人工说明</x:v>
      </x:c>
      <x:c r="K125" s="1326" t="str">
        <x:v>requirement_version_id</x:v>
      </x:c>
      <x:c r="L125" s="1326" t="str">
        <x:v>版本号联合唯一，checksum索引</x:v>
      </x:c>
      <x:c r="M125" s="1326" t="str">
        <x:v>RequirementVersion</x:v>
      </x:c>
      <x:c r="N125" s="1326" t="str">
        <x:v>不可变</x:v>
      </x:c>
      <x:c r="O125" s="1326" t="str">
        <x:v>3/sha256:.../新增退款规则</x:v>
      </x:c>
      <x:c r="P125" s="1327" t="str">
        <x:v>不得覆盖历史需求内容</x:v>
      </x:c>
    </x:row>
    <x:row r="126" ht="34" customHeight="1">
      <x:c r="A126" s="1314" t="n">
        <x:v>1</x:v>
      </x:c>
      <x:c r="B126" s="1315" t="str">
        <x:v>多元输入与自然语言生成域</x:v>
      </x:c>
      <x:c r="C126" s="1315" t="str">
        <x:v>DocumentPage</x:v>
      </x:c>
      <x:c r="D126" s="1315" t="str">
        <x:v>source_document_page_id</x:v>
      </x:c>
      <x:c r="E126" s="1315" t="str">
        <x:v>文档物理页主键</x:v>
      </x:c>
      <x:c r="F126" s="1315" t="str">
        <x:v>UUID/字符串</x:v>
      </x:c>
      <x:c r="G126" s="1315" t="str">
        <x:v>否</x:v>
      </x:c>
      <x:c r="H126" s="1315" t="str">
        <x:v>PDF/分页文档解析时</x:v>
      </x:c>
      <x:c r="I126" s="1315" t="str">
        <x:v>文档解析服务</x:v>
      </x:c>
      <x:c r="J126" s="1315" t="str">
        <x:v>系统生成</x:v>
      </x:c>
      <x:c r="K126" s="1315" t="str">
        <x:v>document_version_id</x:v>
      </x:c>
      <x:c r="L126" s="1315" t="str">
        <x:v>document_version_id + page_no 唯一</x:v>
      </x:c>
      <x:c r="M126" s="1315" t="str">
        <x:v>DocumentPage</x:v>
      </x:c>
      <x:c r="N126" s="1315" t="str">
        <x:v>active</x:v>
      </x:c>
      <x:c r="O126" s="1315" t="str">
        <x:v>dpage_01H...</x:v>
      </x:c>
      <x:c r="P126" s="1316" t="str">
        <x:v>与页面对象 page_object_id 完全分离</x:v>
      </x:c>
    </x:row>
    <x:row r="127" ht="34" customHeight="1">
      <x:c r="A127" s="1325" t="n">
        <x:v>1</x:v>
      </x:c>
      <x:c r="B127" s="1326" t="str">
        <x:v>多元输入与自然语言生成域</x:v>
      </x:c>
      <x:c r="C127" s="1326" t="str">
        <x:v>DocumentPage</x:v>
      </x:c>
      <x:c r="D127" s="1326" t="str">
        <x:v>source_page_no</x:v>
      </x:c>
      <x:c r="E127" s="1326" t="str">
        <x:v>文档页码</x:v>
      </x:c>
      <x:c r="F127" s="1326" t="str">
        <x:v>整数</x:v>
      </x:c>
      <x:c r="G127" s="1326" t="str">
        <x:v>否</x:v>
      </x:c>
      <x:c r="H127" s="1326" t="str">
        <x:v>文档解析时</x:v>
      </x:c>
      <x:c r="I127" s="1326" t="str">
        <x:v>文档解析服务</x:v>
      </x:c>
      <x:c r="J127" s="1326" t="str">
        <x:v>解析器</x:v>
      </x:c>
      <x:c r="K127" s="1326" t="str">
        <x:v>source_document_page_id</x:v>
      </x:c>
      <x:c r="L127" s="1326" t="str">
        <x:v>文档版本内唯一</x:v>
      </x:c>
      <x:c r="M127" s="1326" t="str">
        <x:v>DocumentPage</x:v>
      </x:c>
      <x:c r="N127" s="1326" t="str">
        <x:v>随文档版本</x:v>
      </x:c>
      <x:c r="O127" s="1326" t="str">
        <x:v>12</x:v>
      </x:c>
      <x:c r="P127" s="1327" t="str">
        <x:v>只表达原文页码</x:v>
      </x:c>
    </x:row>
    <x:row r="128" ht="34" customHeight="1">
      <x:c r="A128" s="1314" t="n">
        <x:v>1</x:v>
      </x:c>
      <x:c r="B128" s="1315" t="str">
        <x:v>多元输入与自然语言生成域</x:v>
      </x:c>
      <x:c r="C128" s="1315" t="str">
        <x:v>GenerationContext</x:v>
      </x:c>
      <x:c r="D128" s="1315" t="str">
        <x:v>page_object_ids</x:v>
      </x:c>
      <x:c r="E128" s="1315" t="str">
        <x:v>选中的业务页面对象集合</x:v>
      </x:c>
      <x:c r="F128" s="1315" t="str">
        <x:v>关联表/ID数组</x:v>
      </x:c>
      <x:c r="G128" s="1315" t="str">
        <x:v>否</x:v>
      </x:c>
      <x:c r="H128" s="1315" t="str">
        <x:v>创建生成上下文时</x:v>
      </x:c>
      <x:c r="I128" s="1315" t="str">
        <x:v>生成上下文服务</x:v>
      </x:c>
      <x:c r="J128" s="1315" t="str">
        <x:v>用户选择</x:v>
      </x:c>
      <x:c r="K128" s="1315" t="str">
        <x:v>Page/PageVersion</x:v>
      </x:c>
      <x:c r="L128" s="1315" t="str">
        <x:v>关联表联合唯一</x:v>
      </x:c>
      <x:c r="M128" s="1315" t="str">
        <x:v>GenerationContext</x:v>
      </x:c>
      <x:c r="N128" s="1315" t="str">
        <x:v>不可变快照</x:v>
      </x:c>
      <x:c r="O128" s="1315" t="str">
        <x:v>[page_login]</x:v>
      </x:c>
      <x:c r="P128" s="1316" t="str">
        <x:v>不得与文档页码字段混用</x:v>
      </x:c>
    </x:row>
    <x:row r="129" ht="34" customHeight="1">
      <x:c r="A129" s="1325" t="n">
        <x:v>1</x:v>
      </x:c>
      <x:c r="B129" s="1326" t="str">
        <x:v>多元输入与自然语言生成域</x:v>
      </x:c>
      <x:c r="C129" s="1326" t="str">
        <x:v>Release</x:v>
      </x:c>
      <x:c r="D129" s="1326" t="str">
        <x:v>release_id</x:v>
      </x:c>
      <x:c r="E129" s="1326" t="str">
        <x:v>待验证发布版本主键</x:v>
      </x:c>
      <x:c r="F129" s="1326" t="str">
        <x:v>UUID/字符串</x:v>
      </x:c>
      <x:c r="G129" s="1326" t="str">
        <x:v>否</x:v>
      </x:c>
      <x:c r="H129" s="1326" t="str">
        <x:v>创建发布计划时</x:v>
      </x:c>
      <x:c r="I129" s="1326" t="str">
        <x:v>发布/测试管理服务</x:v>
      </x:c>
      <x:c r="J129" s="1326" t="str">
        <x:v>系统生成或外部映射</x:v>
      </x:c>
      <x:c r="K129" s="1326" t="str">
        <x:v>project_id</x:v>
      </x:c>
      <x:c r="L129" s="1326" t="str">
        <x:v>项目内唯一</x:v>
      </x:c>
      <x:c r="M129" s="1326" t="str">
        <x:v>Release</x:v>
      </x:c>
      <x:c r="N129" s="1326" t="str">
        <x:v>planned/testing/released/closed</x:v>
      </x:c>
      <x:c r="O129" s="1326" t="str">
        <x:v>rel_2026_07</x:v>
      </x:c>
      <x:c r="P129" s="1327" t="str">
        <x:v>用于组织测试计划和执行范围</x:v>
      </x:c>
    </x:row>
    <x:row r="130" ht="34" customHeight="1">
      <x:c r="A130" s="1314" t="n">
        <x:v>1</x:v>
      </x:c>
      <x:c r="B130" s="1315" t="str">
        <x:v>多元输入与自然语言生成域</x:v>
      </x:c>
      <x:c r="C130" s="1315" t="str">
        <x:v>Build</x:v>
      </x:c>
      <x:c r="D130" s="1315" t="str">
        <x:v>build_id</x:v>
      </x:c>
      <x:c r="E130" s="1315" t="str">
        <x:v>具体构建版本主键</x:v>
      </x:c>
      <x:c r="F130" s="1315" t="str">
        <x:v>UUID/字符串</x:v>
      </x:c>
      <x:c r="G130" s="1315" t="str">
        <x:v>否</x:v>
      </x:c>
      <x:c r="H130" s="1315" t="str">
        <x:v>CI构建或同步时</x:v>
      </x:c>
      <x:c r="I130" s="1315" t="str">
        <x:v>CI/CD适配器</x:v>
      </x:c>
      <x:c r="J130" s="1315" t="str">
        <x:v>系统生成/外部映射</x:v>
      </x:c>
      <x:c r="K130" s="1315" t="str">
        <x:v>release_id、commit_sha</x:v>
      </x:c>
      <x:c r="L130" s="1315" t="str">
        <x:v>项目+构建号唯一</x:v>
      </x:c>
      <x:c r="M130" s="1315" t="str">
        <x:v>Build</x:v>
      </x:c>
      <x:c r="N130" s="1315" t="str">
        <x:v>created/deployed/verified/rejected</x:v>
      </x:c>
      <x:c r="O130" s="1315" t="str">
        <x:v>build_1245</x:v>
      </x:c>
      <x:c r="P130" s="1316" t="str">
        <x:v>执行报告必须能定位被测构建</x:v>
      </x:c>
    </x:row>
    <x:row r="131" ht="34" customHeight="1">
      <x:c r="A131" s="1325" t="n">
        <x:v>1</x:v>
      </x:c>
      <x:c r="B131" s="1326" t="str">
        <x:v>多元输入与自然语言生成域</x:v>
      </x:c>
      <x:c r="C131" s="1326" t="str">
        <x:v>Build</x:v>
      </x:c>
      <x:c r="D131" s="1326" t="str">
        <x:v>commit_sha/artifact_version/service_versions</x:v>
      </x:c>
      <x:c r="E131" s="1326" t="str">
        <x:v>代码、制品和服务版本</x:v>
      </x:c>
      <x:c r="F131" s="1326" t="str">
        <x:v>字符串/JSON</x:v>
      </x:c>
      <x:c r="G131" s="1326" t="str">
        <x:v>否</x:v>
      </x:c>
      <x:c r="H131" s="1326" t="str">
        <x:v>构建完成时</x:v>
      </x:c>
      <x:c r="I131" s="1326" t="str">
        <x:v>CI/CD适配器</x:v>
      </x:c>
      <x:c r="J131" s="1326" t="str">
        <x:v>流水线</x:v>
      </x:c>
      <x:c r="K131" s="1326" t="str">
        <x:v>build_id</x:v>
      </x:c>
      <x:c r="L131" s="1326" t="str">
        <x:v>commit_sha/制品digest索引</x:v>
      </x:c>
      <x:c r="M131" s="1326" t="str">
        <x:v>Build</x:v>
      </x:c>
      <x:c r="N131" s="1326" t="str">
        <x:v>随构建</x:v>
      </x:c>
      <x:c r="O131" s="1326" t="str">
        <x:v>abc123/image:1.4.2</x:v>
      </x:c>
      <x:c r="P131" s="1327" t="str">
        <x:v>不能只记录环境名称</x:v>
      </x:c>
    </x:row>
    <x:row r="132" ht="34" customHeight="1">
      <x:c r="A132" s="1314" t="n">
        <x:v>2</x:v>
      </x:c>
      <x:c r="B132" s="1315" t="str">
        <x:v>自然语言测试资产域</x:v>
      </x:c>
      <x:c r="C132" s="1315" t="str">
        <x:v>RequirementItem</x:v>
      </x:c>
      <x:c r="D132" s="1315" t="str">
        <x:v>requirement_item_id</x:v>
      </x:c>
      <x:c r="E132" s="1315" t="str">
        <x:v>可测试需求条目主键</x:v>
      </x:c>
      <x:c r="F132" s="1315" t="str">
        <x:v>UUID/字符串</x:v>
      </x:c>
      <x:c r="G132" s="1315" t="str">
        <x:v>否</x:v>
      </x:c>
      <x:c r="H132" s="1315" t="str">
        <x:v>需求结构化拆分时</x:v>
      </x:c>
      <x:c r="I132" s="1315" t="str">
        <x:v>需求服务/人工</x:v>
      </x:c>
      <x:c r="J132" s="1315" t="str">
        <x:v>系统生成</x:v>
      </x:c>
      <x:c r="K132" s="1315" t="str">
        <x:v>requirement_version_id</x:v>
      </x:c>
      <x:c r="L132" s="1315" t="str">
        <x:v>需求版本内唯一</x:v>
      </x:c>
      <x:c r="M132" s="1315" t="str">
        <x:v>RequirementItem</x:v>
      </x:c>
      <x:c r="N132" s="1315" t="str">
        <x:v>active/removed</x:v>
      </x:c>
      <x:c r="O132" s="1315" t="str">
        <x:v>ri_01H...</x:v>
      </x:c>
      <x:c r="P132" s="1316" t="str">
        <x:v>用于细粒度覆盖，不替代原需求</x:v>
      </x:c>
    </x:row>
    <x:row r="133" ht="34" customHeight="1">
      <x:c r="A133" s="1336" t="n">
        <x:v>2</x:v>
      </x:c>
      <x:c r="B133" s="1337" t="str">
        <x:v>自然语言测试资产域</x:v>
      </x:c>
      <x:c r="C133" s="1337" t="str">
        <x:v>AcceptanceCriterion</x:v>
      </x:c>
      <x:c r="D133" s="1337" t="str">
        <x:v>acceptance_criterion_id</x:v>
      </x:c>
      <x:c r="E133" s="1337" t="str">
        <x:v>验收标准主键</x:v>
      </x:c>
      <x:c r="F133" s="1337" t="str">
        <x:v>UUID/字符串</x:v>
      </x:c>
      <x:c r="G133" s="1337" t="str">
        <x:v>否</x:v>
      </x:c>
      <x:c r="H133" s="1337" t="str">
        <x:v>需求解析或人工录入时</x:v>
      </x:c>
      <x:c r="I133" s="1337" t="str">
        <x:v>需求服务</x:v>
      </x:c>
      <x:c r="J133" s="1337" t="str">
        <x:v>系统生成</x:v>
      </x:c>
      <x:c r="K133" s="1337" t="str">
        <x:v>requirement_version_id/requirement_item_id</x:v>
      </x:c>
      <x:c r="L133" s="1337" t="str">
        <x:v>需求版本内唯一</x:v>
      </x:c>
      <x:c r="M133" s="1337" t="str">
        <x:v>AcceptanceCriterion</x:v>
      </x:c>
      <x:c r="N133" s="1337" t="str">
        <x:v>draft/confirmed/removed</x:v>
      </x:c>
      <x:c r="O133" s="1337" t="str">
        <x:v>ac_01H...</x:v>
      </x:c>
      <x:c r="P133" s="1338" t="str">
        <x:v>覆盖分析核心对象</x:v>
      </x:c>
    </x:row>
    <x:row r="134" ht="34" customHeight="1">
      <x:c r="A134" s="1314" t="n">
        <x:v>2</x:v>
      </x:c>
      <x:c r="B134" s="1315" t="str">
        <x:v>自然语言测试资产域</x:v>
      </x:c>
      <x:c r="C134" s="1315" t="str">
        <x:v>BusinessRule</x:v>
      </x:c>
      <x:c r="D134" s="1315" t="str">
        <x:v>business_rule_id</x:v>
      </x:c>
      <x:c r="E134" s="1315" t="str">
        <x:v>业务规则主键</x:v>
      </x:c>
      <x:c r="F134" s="1315" t="str">
        <x:v>UUID/字符串</x:v>
      </x:c>
      <x:c r="G134" s="1315" t="str">
        <x:v>否</x:v>
      </x:c>
      <x:c r="H134" s="1315" t="str">
        <x:v>需求解析或人工录入时</x:v>
      </x:c>
      <x:c r="I134" s="1315" t="str">
        <x:v>需求服务</x:v>
      </x:c>
      <x:c r="J134" s="1315" t="str">
        <x:v>系统生成</x:v>
      </x:c>
      <x:c r="K134" s="1315" t="str">
        <x:v>requirement_version_id</x:v>
      </x:c>
      <x:c r="L134" s="1315" t="str">
        <x:v>需求版本内唯一</x:v>
      </x:c>
      <x:c r="M134" s="1315" t="str">
        <x:v>BusinessRule</x:v>
      </x:c>
      <x:c r="N134" s="1315" t="str">
        <x:v>active/retired</x:v>
      </x:c>
      <x:c r="O134" s="1315" t="str">
        <x:v>br_01H...</x:v>
      </x:c>
      <x:c r="P134" s="1316" t="str">
        <x:v>可被多个资产覆盖</x:v>
      </x:c>
    </x:row>
    <x:row r="135" ht="34" customHeight="1">
      <x:c r="A135" s="1336" t="n">
        <x:v>2</x:v>
      </x:c>
      <x:c r="B135" s="1337" t="str">
        <x:v>自然语言测试资产域</x:v>
      </x:c>
      <x:c r="C135" s="1337" t="str">
        <x:v>CoverageRelation</x:v>
      </x:c>
      <x:c r="D135" s="1337" t="str">
        <x:v>coverage_relation_id</x:v>
      </x:c>
      <x:c r="E135" s="1337" t="str">
        <x:v>需求对象与测试资产/用例的覆盖关系主键</x:v>
      </x:c>
      <x:c r="F135" s="1337" t="str">
        <x:v>UUID/字符串</x:v>
      </x:c>
      <x:c r="G135" s="1337" t="str">
        <x:v>否</x:v>
      </x:c>
      <x:c r="H135" s="1337" t="str">
        <x:v>资产入库、转换或人工维护时</x:v>
      </x:c>
      <x:c r="I135" s="1337" t="str">
        <x:v>覆盖服务</x:v>
      </x:c>
      <x:c r="J135" s="1337" t="str">
        <x:v>系统生成</x:v>
      </x:c>
      <x:c r="K135" s="1337" t="str">
        <x:v>requirement_item/ac/business_rule + asset/case</x:v>
      </x:c>
      <x:c r="L135" s="1337" t="str">
        <x:v>组合唯一</x:v>
      </x:c>
      <x:c r="M135" s="1337" t="str">
        <x:v>CoverageRelation</x:v>
      </x:c>
      <x:c r="N135" s="1337" t="str">
        <x:v>uncovered/partial/covered/not_applicable</x:v>
      </x:c>
      <x:c r="O135" s="1337" t="str">
        <x:v>cov_01H...</x:v>
      </x:c>
      <x:c r="P135" s="1338" t="str">
        <x:v>来源关系不等于覆盖关系</x:v>
      </x:c>
    </x:row>
    <x:row r="136" ht="34" customHeight="1">
      <x:c r="A136" s="1314" t="n">
        <x:v>2</x:v>
      </x:c>
      <x:c r="B136" s="1315" t="str">
        <x:v>自然语言测试资产域</x:v>
      </x:c>
      <x:c r="C136" s="1315" t="str">
        <x:v>TestAsset</x:v>
      </x:c>
      <x:c r="D136" s="1315" t="str">
        <x:v>automation_eligibility</x:v>
      </x:c>
      <x:c r="E136" s="1315" t="str">
        <x:v>资产自动化适配性</x:v>
      </x:c>
      <x:c r="F136" s="1315" t="str">
        <x:v>枚举</x:v>
      </x:c>
      <x:c r="G136" s="1315" t="str">
        <x:v>是</x:v>
      </x:c>
      <x:c r="H136" s="1315" t="str">
        <x:v>入库后评估或人工确认时</x:v>
      </x:c>
      <x:c r="I136" s="1315" t="str">
        <x:v>资产服务/评估服务</x:v>
      </x:c>
      <x:c r="J136" s="1315" t="str">
        <x:v>评估结果</x:v>
      </x:c>
      <x:c r="K136" s="1315" t="str">
        <x:v>test_asset_id</x:v>
      </x:c>
      <x:c r="L136" s="1315" t="str">
        <x:v>普通索引</x:v>
      </x:c>
      <x:c r="M136" s="1315" t="str">
        <x:v>TestAsset</x:v>
      </x:c>
      <x:c r="N136" s="1315" t="str">
        <x:v>unknown/eligible/partially_eligible/manual_only/blocked</x:v>
      </x:c>
      <x:c r="O136" s="1315" t="str">
        <x:v>manual_only</x:v>
      </x:c>
      <x:c r="P136" s="1316" t="str">
        <x:v>与review_status和conversion_status分离</x:v>
      </x:c>
    </x:row>
    <x:row r="137" ht="34" customHeight="1">
      <x:c r="A137" s="1336" t="n">
        <x:v>2</x:v>
      </x:c>
      <x:c r="B137" s="1337" t="str">
        <x:v>自然语言测试资产域</x:v>
      </x:c>
      <x:c r="C137" s="1337" t="str">
        <x:v>TestAsset</x:v>
      </x:c>
      <x:c r="D137" s="1337" t="str">
        <x:v>automation_status/automation_block_reason</x:v>
      </x:c>
      <x:c r="E137" s="1337" t="str">
        <x:v>自动化实施状态和阻塞原因</x:v>
      </x:c>
      <x:c r="F137" s="1337" t="str">
        <x:v>枚举/文本</x:v>
      </x:c>
      <x:c r="G137" s="1337" t="str">
        <x:v>是/条件必填</x:v>
      </x:c>
      <x:c r="H137" s="1337" t="str">
        <x:v>转换或人工管理时</x:v>
      </x:c>
      <x:c r="I137" s="1337" t="str">
        <x:v>资产/转换服务</x:v>
      </x:c>
      <x:c r="J137" s="1337" t="str">
        <x:v>ConversionAttempt/人工</x:v>
      </x:c>
      <x:c r="K137" s="1337" t="str">
        <x:v>test_asset_id</x:v>
      </x:c>
      <x:c r="L137" s="1337" t="str">
        <x:v>普通索引</x:v>
      </x:c>
      <x:c r="M137" s="1337" t="str">
        <x:v>TestAsset</x:v>
      </x:c>
      <x:c r="N137" s="1337" t="str">
        <x:v>not_started/in_progress/automated/blocked</x:v>
      </x:c>
      <x:c r="O137" s="1337" t="str">
        <x:v>blocked/page_not_available</x:v>
      </x:c>
      <x:c r="P137" s="1338" t="str">
        <x:v>manual_only资产仍可手工执行</x:v>
      </x:c>
    </x:row>
    <x:row r="138" ht="34" customHeight="1">
      <x:c r="A138" s="1314" t="n">
        <x:v>2</x:v>
      </x:c>
      <x:c r="B138" s="1315" t="str">
        <x:v>自然语言测试资产域</x:v>
      </x:c>
      <x:c r="C138" s="1315" t="str">
        <x:v>AssetQualityAssessment</x:v>
      </x:c>
      <x:c r="D138" s="1315" t="str">
        <x:v>clarity_score/completeness_score/testability_score</x:v>
      </x:c>
      <x:c r="E138" s="1315" t="str">
        <x:v>资产清晰度、完整度、可测性评分</x:v>
      </x:c>
      <x:c r="F138" s="1315" t="str">
        <x:v>小数</x:v>
      </x:c>
      <x:c r="G138" s="1315" t="str">
        <x:v>否</x:v>
      </x:c>
      <x:c r="H138" s="1315" t="str">
        <x:v>入库后异步评估时</x:v>
      </x:c>
      <x:c r="I138" s="1315" t="str">
        <x:v>智能评估服务</x:v>
      </x:c>
      <x:c r="J138" s="1315" t="str">
        <x:v>AI/规则</x:v>
      </x:c>
      <x:c r="K138" s="1315" t="str">
        <x:v>asset_version_id</x:v>
      </x:c>
      <x:c r="L138" s="1315" t="str">
        <x:v>版本内索引</x:v>
      </x:c>
      <x:c r="M138" s="1315" t="str">
        <x:v>AssetQualityAssessment</x:v>
      </x:c>
      <x:c r="N138" s="1315" t="str">
        <x:v>succeeded/failed</x:v>
      </x:c>
      <x:c r="O138" s="1315" t="str">
        <x:v>0.86/0.74/0.92</x:v>
      </x:c>
      <x:c r="P138" s="1316" t="str">
        <x:v>只作提示，不阻止入库</x:v>
      </x:c>
    </x:row>
    <x:row r="139" ht="34" customHeight="1">
      <x:c r="A139" s="1347" t="n">
        <x:v>3</x:v>
      </x:c>
      <x:c r="B139" s="1348" t="str">
        <x:v>Asset-to-Case 转换与统一拦截域</x:v>
      </x:c>
      <x:c r="C139" s="1348" t="str">
        <x:v>ResourceResolutionDecision</x:v>
      </x:c>
      <x:c r="D139" s="1348" t="str">
        <x:v>resolution_decision_id</x:v>
      </x:c>
      <x:c r="E139" s="1348" t="str">
        <x:v>资源多候选人工确认记录主键</x:v>
      </x:c>
      <x:c r="F139" s="1348" t="str">
        <x:v>UUID/字符串</x:v>
      </x:c>
      <x:c r="G139" s="1348" t="str">
        <x:v>否</x:v>
      </x:c>
      <x:c r="H139" s="1348" t="str">
        <x:v>资源解析出现歧义时</x:v>
      </x:c>
      <x:c r="I139" s="1348" t="str">
        <x:v>转换服务/用户</x:v>
      </x:c>
      <x:c r="J139" s="1348" t="str">
        <x:v>系统生成</x:v>
      </x:c>
      <x:c r="K139" s="1348" t="str">
        <x:v>conversion_attempt_id</x:v>
      </x:c>
      <x:c r="L139" s="1348" t="str">
        <x:v>全局唯一</x:v>
      </x:c>
      <x:c r="M139" s="1348" t="str">
        <x:v>ResourceResolutionDecision</x:v>
      </x:c>
      <x:c r="N139" s="1348" t="str">
        <x:v>waiting/selected/rejected/expired</x:v>
      </x:c>
      <x:c r="O139" s="1348" t="str">
        <x:v>rrd_01H...</x:v>
      </x:c>
      <x:c r="P139" s="1349" t="str">
        <x:v>用户选择必须进入审计和BoundPlan</x:v>
      </x:c>
    </x:row>
    <x:row r="140" ht="34" customHeight="1">
      <x:c r="A140" s="1314" t="n">
        <x:v>3</x:v>
      </x:c>
      <x:c r="B140" s="1315" t="str">
        <x:v>Asset-to-Case 转换与统一拦截域</x:v>
      </x:c>
      <x:c r="C140" s="1315" t="str">
        <x:v>ResourceResolutionDecision</x:v>
      </x:c>
      <x:c r="D140" s="1315" t="str">
        <x:v>semantic_role/candidate_resource_ids/selected_resource_id</x:v>
      </x:c>
      <x:c r="E140" s="1315" t="str">
        <x:v>资源语义角色、候选集合和最终选择</x:v>
      </x:c>
      <x:c r="F140" s="1315" t="str">
        <x:v>字符串/数组/外键</x:v>
      </x:c>
      <x:c r="G140" s="1315" t="str">
        <x:v>条件必填</x:v>
      </x:c>
      <x:c r="H140" s="1315" t="str">
        <x:v>资源人工确认时</x:v>
      </x:c>
      <x:c r="I140" s="1315" t="str">
        <x:v>转换服务/用户</x:v>
      </x:c>
      <x:c r="J140" s="1315" t="str">
        <x:v>资源解析结果</x:v>
      </x:c>
      <x:c r="K140" s="1315" t="str">
        <x:v>ResourceDescriptor</x:v>
      </x:c>
      <x:c r="L140" s="1315" t="str">
        <x:v>attempt+semantic_role唯一</x:v>
      </x:c>
      <x:c r="M140" s="1315" t="str">
        <x:v>ResourceResolutionDecision</x:v>
      </x:c>
      <x:c r="N140" s="1315" t="str">
        <x:v>随决策</x:v>
      </x:c>
      <x:c r="O140" s="1315" t="str">
        <x:v>submit_button/[el1,el2]/el2</x:v>
      </x:c>
      <x:c r="P140" s="1316" t="str">
        <x:v>不得靠前端临时状态完成绑定</x:v>
      </x:c>
    </x:row>
    <x:row r="141" ht="34" customHeight="1">
      <x:c r="A141" s="1347" t="n">
        <x:v>3</x:v>
      </x:c>
      <x:c r="B141" s="1348" t="str">
        <x:v>Asset-to-Case 转换与统一拦截域</x:v>
      </x:c>
      <x:c r="C141" s="1348" t="str">
        <x:v>ConversionAttempt</x:v>
      </x:c>
      <x:c r="D141" s="1348" t="str">
        <x:v>conversion_input_hash/manifest_hash/bound_plan_hash</x:v>
      </x:c>
      <x:c r="E141" s="1348" t="str">
        <x:v>转换输入、中间契约和计划哈希</x:v>
      </x:c>
      <x:c r="F141" s="1348" t="str">
        <x:v>SHA-256字符串</x:v>
      </x:c>
      <x:c r="G141" s="1348" t="str">
        <x:v>是</x:v>
      </x:c>
      <x:c r="H141" s="1348" t="str">
        <x:v>对应对象生成时</x:v>
      </x:c>
      <x:c r="I141" s="1348" t="str">
        <x:v>转换服务</x:v>
      </x:c>
      <x:c r="J141" s="1348" t="str">
        <x:v>规范化序列化计算</x:v>
      </x:c>
      <x:c r="K141" s="1348" t="str">
        <x:v>conversion_attempt_id</x:v>
      </x:c>
      <x:c r="L141" s="1348" t="str">
        <x:v>哈希索引</x:v>
      </x:c>
      <x:c r="M141" s="1348" t="str">
        <x:v>ConversionAttempt</x:v>
      </x:c>
      <x:c r="N141" s="1348" t="str">
        <x:v>不可变</x:v>
      </x:c>
      <x:c r="O141" s="1348" t="str">
        <x:v>sha256:...</x:v>
      </x:c>
      <x:c r="P141" s="1349" t="str">
        <x:v>用于结果复用、重放和防漂移</x:v>
      </x:c>
    </x:row>
    <x:row r="142" ht="34" customHeight="1">
      <x:c r="A142" s="1314" t="n">
        <x:v>3</x:v>
      </x:c>
      <x:c r="B142" s="1315" t="str">
        <x:v>Asset-to-Case 转换与统一拦截域</x:v>
      </x:c>
      <x:c r="C142" s="1315" t="str">
        <x:v>TestCaseVersion</x:v>
      </x:c>
      <x:c r="D142" s="1315" t="str">
        <x:v>script_code_hash</x:v>
      </x:c>
      <x:c r="E142" s="1315" t="str">
        <x:v>编译结果哈希</x:v>
      </x:c>
      <x:c r="F142" s="1315" t="str">
        <x:v>SHA-256字符串</x:v>
      </x:c>
      <x:c r="G142" s="1315" t="str">
        <x:v>是</x:v>
      </x:c>
      <x:c r="H142" s="1315" t="str">
        <x:v>编译完成时</x:v>
      </x:c>
      <x:c r="I142" s="1315" t="str">
        <x:v>Compiler</x:v>
      </x:c>
      <x:c r="J142" s="1315" t="str">
        <x:v>script_code计算</x:v>
      </x:c>
      <x:c r="K142" s="1315" t="str">
        <x:v>test_case_version_id</x:v>
      </x:c>
      <x:c r="L142" s="1315" t="str">
        <x:v>普通索引</x:v>
      </x:c>
      <x:c r="M142" s="1315" t="str">
        <x:v>TestCaseVersion</x:v>
      </x:c>
      <x:c r="N142" s="1315" t="str">
        <x:v>不可变</x:v>
      </x:c>
      <x:c r="O142" s="1315" t="str">
        <x:v>sha256:...</x:v>
      </x:c>
      <x:c r="P142" s="1316" t="str">
        <x:v>用于检测非治理修改</x:v>
      </x:c>
    </x:row>
    <x:row r="143" ht="34" customHeight="1">
      <x:c r="A143" s="1358" t="n">
        <x:v>4</x:v>
      </x:c>
      <x:c r="B143" s="1359" t="str">
        <x:v>公共资源与能力域</x:v>
      </x:c>
      <x:c r="C143" s="1359" t="str">
        <x:v>ResourceDescriptor</x:v>
      </x:c>
      <x:c r="D143" s="1359" t="str">
        <x:v>owner_team_id/maintainer_user_id</x:v>
      </x:c>
      <x:c r="E143" s="1359" t="str">
        <x:v>资源责任团队和维护人</x:v>
      </x:c>
      <x:c r="F143" s="1359" t="str">
        <x:v>外键</x:v>
      </x:c>
      <x:c r="G143" s="1359" t="str">
        <x:v>是/否</x:v>
      </x:c>
      <x:c r="H143" s="1359" t="str">
        <x:v>资源创建或移交时</x:v>
      </x:c>
      <x:c r="I143" s="1359" t="str">
        <x:v>资源中心</x:v>
      </x:c>
      <x:c r="J143" s="1359" t="str">
        <x:v>人工配置</x:v>
      </x:c>
      <x:c r="K143" s="1359" t="str">
        <x:v>Team/User</x:v>
      </x:c>
      <x:c r="L143" s="1359" t="str">
        <x:v>普通索引</x:v>
      </x:c>
      <x:c r="M143" s="1359" t="str">
        <x:v>ResourceDescriptor</x:v>
      </x:c>
      <x:c r="N143" s="1359" t="str">
        <x:v>随资源</x:v>
      </x:c>
      <x:c r="O143" s="1359" t="str">
        <x:v>team_qa_platform/usr_01</x:v>
      </x:c>
      <x:c r="P143" s="1360" t="str">
        <x:v>资源失效必须有明确责任人</x:v>
      </x:c>
    </x:row>
    <x:row r="144" ht="34" customHeight="1">
      <x:c r="A144" s="1314" t="n">
        <x:v>4</x:v>
      </x:c>
      <x:c r="B144" s="1315" t="str">
        <x:v>公共资源与能力域</x:v>
      </x:c>
      <x:c r="C144" s="1315" t="str">
        <x:v>ResourceDescriptor</x:v>
      </x:c>
      <x:c r="D144" s="1315" t="str">
        <x:v>last_verified_at/verification_status/resource_health_status</x:v>
      </x:c>
      <x:c r="E144" s="1315" t="str">
        <x:v>资源最近验证时间、验证结果和健康状态</x:v>
      </x:c>
      <x:c r="F144" s="1315" t="str">
        <x:v>时间/枚举</x:v>
      </x:c>
      <x:c r="G144" s="1315" t="str">
        <x:v>是</x:v>
      </x:c>
      <x:c r="H144" s="1315" t="str">
        <x:v>资源检查后</x:v>
      </x:c>
      <x:c r="I144" s="1315" t="str">
        <x:v>健康检查服务</x:v>
      </x:c>
      <x:c r="J144" s="1315" t="str">
        <x:v>探测结果</x:v>
      </x:c>
      <x:c r="K144" s="1315" t="str">
        <x:v>resource_id/version</x:v>
      </x:c>
      <x:c r="L144" s="1315" t="str">
        <x:v>健康状态索引</x:v>
      </x:c>
      <x:c r="M144" s="1315" t="str">
        <x:v>ResourceDescriptor</x:v>
      </x:c>
      <x:c r="N144" s="1315" t="str">
        <x:v>healthy/suspected/broken/disabled</x:v>
      </x:c>
      <x:c r="O144" s="1315" t="str">
        <x:v>2026-07-12/healthy</x:v>
      </x:c>
      <x:c r="P144" s="1316" t="str">
        <x:v>健康变化不得修改历史用例快照</x:v>
      </x:c>
    </x:row>
    <x:row r="145" ht="34" customHeight="1">
      <x:c r="A145" s="1358" t="n">
        <x:v>4</x:v>
      </x:c>
      <x:c r="B145" s="1359" t="str">
        <x:v>公共资源与能力域</x:v>
      </x:c>
      <x:c r="C145" s="1359" t="str">
        <x:v>DataReservation</x:v>
      </x:c>
      <x:c r="D145" s="1359" t="str">
        <x:v>data_reservation_id</x:v>
      </x:c>
      <x:c r="E145" s="1359" t="str">
        <x:v>测试数据占用主键</x:v>
      </x:c>
      <x:c r="F145" s="1359" t="str">
        <x:v>UUID/字符串</x:v>
      </x:c>
      <x:c r="G145" s="1359" t="str">
        <x:v>否</x:v>
      </x:c>
      <x:c r="H145" s="1359" t="str">
        <x:v>执行准备数据时</x:v>
      </x:c>
      <x:c r="I145" s="1359" t="str">
        <x:v>数据工厂/执行控制</x:v>
      </x:c>
      <x:c r="J145" s="1359" t="str">
        <x:v>系统生成</x:v>
      </x:c>
      <x:c r="K145" s="1359" t="str">
        <x:v>data_profile_id、execution_id</x:v>
      </x:c>
      <x:c r="L145" s="1359" t="str">
        <x:v>活跃资源唯一约束</x:v>
      </x:c>
      <x:c r="M145" s="1359" t="str">
        <x:v>DataReservation</x:v>
      </x:c>
      <x:c r="N145" s="1359" t="str">
        <x:v>reserved/in_use/released/expired/failed</x:v>
      </x:c>
      <x:c r="O145" s="1359" t="str">
        <x:v>dr_01H...</x:v>
      </x:c>
      <x:c r="P145" s="1360" t="str">
        <x:v>防止并发用例共享独占数据</x:v>
      </x:c>
    </x:row>
    <x:row r="146" ht="34" customHeight="1">
      <x:c r="A146" s="1314" t="n">
        <x:v>4</x:v>
      </x:c>
      <x:c r="B146" s="1315" t="str">
        <x:v>公共资源与能力域</x:v>
      </x:c>
      <x:c r="C146" s="1315" t="str">
        <x:v>EnvironmentReservation</x:v>
      </x:c>
      <x:c r="D146" s="1315" t="str">
        <x:v>environment_reservation_id</x:v>
      </x:c>
      <x:c r="E146" s="1315" t="str">
        <x:v>执行环境预占主键</x:v>
      </x:c>
      <x:c r="F146" s="1315" t="str">
        <x:v>UUID/字符串</x:v>
      </x:c>
      <x:c r="G146" s="1315" t="str">
        <x:v>否</x:v>
      </x:c>
      <x:c r="H146" s="1315" t="str">
        <x:v>任务调度/执行前</x:v>
      </x:c>
      <x:c r="I146" s="1315" t="str">
        <x:v>执行控制中心</x:v>
      </x:c>
      <x:c r="J146" s="1315" t="str">
        <x:v>系统生成</x:v>
      </x:c>
      <x:c r="K146" s="1315" t="str">
        <x:v>environment_id、execution_job_id</x:v>
      </x:c>
      <x:c r="L146" s="1315" t="str">
        <x:v>时间窗和独占冲突索引</x:v>
      </x:c>
      <x:c r="M146" s="1315" t="str">
        <x:v>EnvironmentReservation</x:v>
      </x:c>
      <x:c r="N146" s="1315" t="str">
        <x:v>requested/reserved/active/released/expired</x:v>
      </x:c>
      <x:c r="O146" s="1315" t="str">
        <x:v>er_01H...</x:v>
      </x:c>
      <x:c r="P146" s="1316" t="str">
        <x:v>故障、安全、性能场景可要求独占</x:v>
      </x:c>
    </x:row>
    <x:row r="147" ht="34" customHeight="1">
      <x:c r="A147" s="1358" t="n">
        <x:v>4</x:v>
      </x:c>
      <x:c r="B147" s="1359" t="str">
        <x:v>公共资源与能力域</x:v>
      </x:c>
      <x:c r="C147" s="1359" t="str">
        <x:v>Environment</x:v>
      </x:c>
      <x:c r="D147" s="1359" t="str">
        <x:v>capacity_limit/current_load/maintenance_window</x:v>
      </x:c>
      <x:c r="E147" s="1359" t="str">
        <x:v>环境容量、当前负载和维护窗口</x:v>
      </x:c>
      <x:c r="F147" s="1359" t="str">
        <x:v>整数/整数/时间规则</x:v>
      </x:c>
      <x:c r="G147" s="1359" t="str">
        <x:v>否</x:v>
      </x:c>
      <x:c r="H147" s="1359" t="str">
        <x:v>环境配置及运行时</x:v>
      </x:c>
      <x:c r="I147" s="1359" t="str">
        <x:v>环境中心</x:v>
      </x:c>
      <x:c r="J147" s="1359" t="str">
        <x:v>人工配置/监控聚合</x:v>
      </x:c>
      <x:c r="K147" s="1359" t="str">
        <x:v>environment_id</x:v>
      </x:c>
      <x:c r="L147" s="1359" t="str">
        <x:v>状态和时间索引</x:v>
      </x:c>
      <x:c r="M147" s="1359" t="str">
        <x:v>Environment</x:v>
      </x:c>
      <x:c r="N147" s="1359" t="str">
        <x:v>随环境</x:v>
      </x:c>
      <x:c r="O147" s="1359" t="str">
        <x:v>10/4/Sun 02:00</x:v>
      </x:c>
      <x:c r="P147" s="1360" t="str">
        <x:v>调度必须检查容量与维护状态</x:v>
      </x:c>
    </x:row>
    <x:row r="148" ht="34" customHeight="1">
      <x:c r="A148" s="1314" t="n">
        <x:v>5</x:v>
      </x:c>
      <x:c r="B148" s="1315" t="str">
        <x:v>测试用例、执行、证据与反馈域</x:v>
      </x:c>
      <x:c r="C148" s="1315" t="str">
        <x:v>TestSuite</x:v>
      </x:c>
      <x:c r="D148" s="1315" t="str">
        <x:v>test_suite_id</x:v>
      </x:c>
      <x:c r="E148" s="1315" t="str">
        <x:v>测试套件主键</x:v>
      </x:c>
      <x:c r="F148" s="1315" t="str">
        <x:v>UUID/字符串</x:v>
      </x:c>
      <x:c r="G148" s="1315" t="str">
        <x:v>否</x:v>
      </x:c>
      <x:c r="H148" s="1315" t="str">
        <x:v>创建回归/冒烟集合时</x:v>
      </x:c>
      <x:c r="I148" s="1315" t="str">
        <x:v>测试管理服务</x:v>
      </x:c>
      <x:c r="J148" s="1315" t="str">
        <x:v>系统生成</x:v>
      </x:c>
      <x:c r="K148" s="1315" t="str">
        <x:v>project_id</x:v>
      </x:c>
      <x:c r="L148" s="1315" t="str">
        <x:v>项目内唯一</x:v>
      </x:c>
      <x:c r="M148" s="1315" t="str">
        <x:v>TestSuite</x:v>
      </x:c>
      <x:c r="N148" s="1315" t="str">
        <x:v>draft/active/archived</x:v>
      </x:c>
      <x:c r="O148" s="1315" t="str">
        <x:v>suite_smoke</x:v>
      </x:c>
      <x:c r="P148" s="1316" t="str">
        <x:v>用例组织单元，不复制用例内容</x:v>
      </x:c>
    </x:row>
    <x:row r="149" ht="34" customHeight="1">
      <x:c r="A149" s="1369" t="n">
        <x:v>5</x:v>
      </x:c>
      <x:c r="B149" s="1370" t="str">
        <x:v>测试用例、执行、证据与反馈域</x:v>
      </x:c>
      <x:c r="C149" s="1370" t="str">
        <x:v>TestPlan</x:v>
      </x:c>
      <x:c r="D149" s="1370" t="str">
        <x:v>test_plan_id</x:v>
      </x:c>
      <x:c r="E149" s="1370" t="str">
        <x:v>测试计划主键</x:v>
      </x:c>
      <x:c r="F149" s="1370" t="str">
        <x:v>UUID/字符串</x:v>
      </x:c>
      <x:c r="G149" s="1370" t="str">
        <x:v>否</x:v>
      </x:c>
      <x:c r="H149" s="1370" t="str">
        <x:v>为发布或专项测试创建计划时</x:v>
      </x:c>
      <x:c r="I149" s="1370" t="str">
        <x:v>测试管理服务</x:v>
      </x:c>
      <x:c r="J149" s="1370" t="str">
        <x:v>系统生成</x:v>
      </x:c>
      <x:c r="K149" s="1370" t="str">
        <x:v>project_id、release_id、build_id</x:v>
      </x:c>
      <x:c r="L149" s="1370" t="str">
        <x:v>项目内唯一</x:v>
      </x:c>
      <x:c r="M149" s="1370" t="str">
        <x:v>TestPlan</x:v>
      </x:c>
      <x:c r="N149" s="1370" t="str">
        <x:v>draft/ready/running/completed/closed</x:v>
      </x:c>
      <x:c r="O149" s="1370" t="str">
        <x:v>tp_01H...</x:v>
      </x:c>
      <x:c r="P149" s="1371" t="str">
        <x:v>绑定明确Release/Build/Environment</x:v>
      </x:c>
    </x:row>
    <x:row r="150" ht="34" customHeight="1">
      <x:c r="A150" s="1314" t="n">
        <x:v>5</x:v>
      </x:c>
      <x:c r="B150" s="1315" t="str">
        <x:v>测试用例、执行、证据与反馈域</x:v>
      </x:c>
      <x:c r="C150" s="1315" t="str">
        <x:v>TestCampaign</x:v>
      </x:c>
      <x:c r="D150" s="1315" t="str">
        <x:v>test_campaign_id</x:v>
      </x:c>
      <x:c r="E150" s="1315" t="str">
        <x:v>跨计划测试活动主键</x:v>
      </x:c>
      <x:c r="F150" s="1315" t="str">
        <x:v>UUID/字符串</x:v>
      </x:c>
      <x:c r="G150" s="1315" t="str">
        <x:v>否</x:v>
      </x:c>
      <x:c r="H150" s="1315" t="str">
        <x:v>发布验证或专项活动创建时</x:v>
      </x:c>
      <x:c r="I150" s="1315" t="str">
        <x:v>测试管理服务</x:v>
      </x:c>
      <x:c r="J150" s="1315" t="str">
        <x:v>系统生成</x:v>
      </x:c>
      <x:c r="K150" s="1315" t="str">
        <x:v>project_id、release_id</x:v>
      </x:c>
      <x:c r="L150" s="1315" t="str">
        <x:v>项目内唯一</x:v>
      </x:c>
      <x:c r="M150" s="1315" t="str">
        <x:v>TestCampaign</x:v>
      </x:c>
      <x:c r="N150" s="1315" t="str">
        <x:v>planned/active/completed/cancelled</x:v>
      </x:c>
      <x:c r="O150" s="1315" t="str">
        <x:v>camp_release_07</x:v>
      </x:c>
      <x:c r="P150" s="1316" t="str">
        <x:v>用于汇总多计划、多环境测试</x:v>
      </x:c>
    </x:row>
    <x:row r="151" ht="34" customHeight="1">
      <x:c r="A151" s="1369" t="n">
        <x:v>5</x:v>
      </x:c>
      <x:c r="B151" s="1370" t="str">
        <x:v>测试用例、执行、证据与反馈域</x:v>
      </x:c>
      <x:c r="C151" s="1370" t="str">
        <x:v>TestPlanExecution</x:v>
      </x:c>
      <x:c r="D151" s="1370" t="str">
        <x:v>test_plan_execution_id</x:v>
      </x:c>
      <x:c r="E151" s="1370" t="str">
        <x:v>一次测试计划执行主键</x:v>
      </x:c>
      <x:c r="F151" s="1370" t="str">
        <x:v>UUID/字符串</x:v>
      </x:c>
      <x:c r="G151" s="1370" t="str">
        <x:v>否</x:v>
      </x:c>
      <x:c r="H151" s="1370" t="str">
        <x:v>计划发起执行时</x:v>
      </x:c>
      <x:c r="I151" s="1370" t="str">
        <x:v>调度中心</x:v>
      </x:c>
      <x:c r="J151" s="1370" t="str">
        <x:v>系统生成</x:v>
      </x:c>
      <x:c r="K151" s="1370" t="str">
        <x:v>test_plan_id、execution_job_id</x:v>
      </x:c>
      <x:c r="L151" s="1370" t="str">
        <x:v>全局唯一</x:v>
      </x:c>
      <x:c r="M151" s="1370" t="str">
        <x:v>TestPlanExecution</x:v>
      </x:c>
      <x:c r="N151" s="1370" t="str">
        <x:v>queued/running/completed/blocked/cancelled</x:v>
      </x:c>
      <x:c r="O151" s="1370" t="str">
        <x:v>tpe_01H...</x:v>
      </x:c>
      <x:c r="P151" s="1371" t="str">
        <x:v>与通用ExecutionJob关联但保留计划语义</x:v>
      </x:c>
    </x:row>
    <x:row r="152" ht="34" customHeight="1">
      <x:c r="A152" s="1314" t="n">
        <x:v>5</x:v>
      </x:c>
      <x:c r="B152" s="1315" t="str">
        <x:v>测试用例、执行、证据与反馈域</x:v>
      </x:c>
      <x:c r="C152" s="1315" t="str">
        <x:v>ExecutionStepResult</x:v>
      </x:c>
      <x:c r="D152" s="1315" t="str">
        <x:v>step_result_id</x:v>
      </x:c>
      <x:c r="E152" s="1315" t="str">
        <x:v>单步执行结果主键</x:v>
      </x:c>
      <x:c r="F152" s="1315" t="str">
        <x:v>UUID/字符串</x:v>
      </x:c>
      <x:c r="G152" s="1315" t="str">
        <x:v>是</x:v>
      </x:c>
      <x:c r="H152" s="1315" t="str">
        <x:v>每个机器步骤完成时</x:v>
      </x:c>
      <x:c r="I152" s="1315" t="str">
        <x:v>Runner</x:v>
      </x:c>
      <x:c r="J152" s="1315" t="str">
        <x:v>系统生成</x:v>
      </x:c>
      <x:c r="K152" s="1315" t="str">
        <x:v>execution_id、step_id</x:v>
      </x:c>
      <x:c r="L152" s="1315" t="str">
        <x:v>execution+step+attempt唯一</x:v>
      </x:c>
      <x:c r="M152" s="1315" t="str">
        <x:v>ExecutionStepResult</x:v>
      </x:c>
      <x:c r="N152" s="1315" t="str">
        <x:v>pending/running/passed/failed/skipped/error</x:v>
      </x:c>
      <x:c r="O152" s="1315" t="str">
        <x:v>sr_01H...</x:v>
      </x:c>
      <x:c r="P152" s="1316" t="str">
        <x:v>报告和失败定位的基础</x:v>
      </x:c>
    </x:row>
    <x:row r="153" ht="34" customHeight="1">
      <x:c r="A153" s="1369" t="n">
        <x:v>5</x:v>
      </x:c>
      <x:c r="B153" s="1370" t="str">
        <x:v>测试用例、执行、证据与反馈域</x:v>
      </x:c>
      <x:c r="C153" s="1370" t="str">
        <x:v>CleanupResult</x:v>
      </x:c>
      <x:c r="D153" s="1370" t="str">
        <x:v>cleanup_result_id</x:v>
      </x:c>
      <x:c r="E153" s="1370" t="str">
        <x:v>清理动作结果主键</x:v>
      </x:c>
      <x:c r="F153" s="1370" t="str">
        <x:v>UUID/字符串</x:v>
      </x:c>
      <x:c r="G153" s="1370" t="str">
        <x:v>条件必填</x:v>
      </x:c>
      <x:c r="H153" s="1370" t="str">
        <x:v>cleanup执行时</x:v>
      </x:c>
      <x:c r="I153" s="1370" t="str">
        <x:v>执行控制/Runner</x:v>
      </x:c>
      <x:c r="J153" s="1370" t="str">
        <x:v>系统生成</x:v>
      </x:c>
      <x:c r="K153" s="1370" t="str">
        <x:v>execution_id、resource_id</x:v>
      </x:c>
      <x:c r="L153" s="1370" t="str">
        <x:v>全局唯一</x:v>
      </x:c>
      <x:c r="M153" s="1370" t="str">
        <x:v>CleanupResult</x:v>
      </x:c>
      <x:c r="N153" s="1370" t="str">
        <x:v>succeeded/failed/partially_succeeded/not_required</x:v>
      </x:c>
      <x:c r="O153" s="1370" t="str">
        <x:v>cr_01H...</x:v>
      </x:c>
      <x:c r="P153" s="1371" t="str">
        <x:v>清理失败需独立告警</x:v>
      </x:c>
    </x:row>
    <x:row r="154" ht="34" customHeight="1">
      <x:c r="A154" s="1314" t="n">
        <x:v>5</x:v>
      </x:c>
      <x:c r="B154" s="1315" t="str">
        <x:v>测试用例、执行、证据与反馈域</x:v>
      </x:c>
      <x:c r="C154" s="1315" t="str">
        <x:v>Execution</x:v>
      </x:c>
      <x:c r="D154" s="1315" t="str">
        <x:v>execution_mode</x:v>
      </x:c>
      <x:c r="E154" s="1315" t="str">
        <x:v>执行模式</x:v>
      </x:c>
      <x:c r="F154" s="1315" t="str">
        <x:v>枚举</x:v>
      </x:c>
      <x:c r="G154" s="1315" t="str">
        <x:v>是</x:v>
      </x:c>
      <x:c r="H154" s="1315" t="str">
        <x:v>创建Execution时</x:v>
      </x:c>
      <x:c r="I154" s="1315" t="str">
        <x:v>调度中心</x:v>
      </x:c>
      <x:c r="J154" s="1315" t="str">
        <x:v>计划/用例属性</x:v>
      </x:c>
      <x:c r="K154" s="1315" t="str">
        <x:v>execution_id</x:v>
      </x:c>
      <x:c r="L154" s="1315" t="str">
        <x:v>普通索引</x:v>
      </x:c>
      <x:c r="M154" s="1315" t="str">
        <x:v>Execution</x:v>
      </x:c>
      <x:c r="N154" s="1315" t="str">
        <x:v>manual/automated/hybrid</x:v>
      </x:c>
      <x:c r="O154" s="1315" t="str">
        <x:v>automated</x:v>
      </x:c>
      <x:c r="P154" s="1316" t="str">
        <x:v>manual_only资产仍可进入计划和报告</x:v>
      </x:c>
    </x:row>
    <x:row r="155" ht="34" customHeight="1">
      <x:c r="A155" s="1369" t="n">
        <x:v>5</x:v>
      </x:c>
      <x:c r="B155" s="1370" t="str">
        <x:v>测试用例、执行、证据与反馈域</x:v>
      </x:c>
      <x:c r="C155" s="1370" t="str">
        <x:v>ManualExecutionResult</x:v>
      </x:c>
      <x:c r="D155" s="1370" t="str">
        <x:v>manual_execution_result_id</x:v>
      </x:c>
      <x:c r="E155" s="1370" t="str">
        <x:v>手工执行结果主键</x:v>
      </x:c>
      <x:c r="F155" s="1370" t="str">
        <x:v>UUID/字符串</x:v>
      </x:c>
      <x:c r="G155" s="1370" t="str">
        <x:v>否</x:v>
      </x:c>
      <x:c r="H155" s="1370" t="str">
        <x:v>人工执行资产/用例后</x:v>
      </x:c>
      <x:c r="I155" s="1370" t="str">
        <x:v>测试执行人</x:v>
      </x:c>
      <x:c r="J155" s="1370" t="str">
        <x:v>系统生成</x:v>
      </x:c>
      <x:c r="K155" s="1370" t="str">
        <x:v>execution_id、user_id</x:v>
      </x:c>
      <x:c r="L155" s="1370" t="str">
        <x:v>全局唯一</x:v>
      </x:c>
      <x:c r="M155" s="1370" t="str">
        <x:v>ManualExecutionResult</x:v>
      </x:c>
      <x:c r="N155" s="1370" t="str">
        <x:v>passed/failed/blocked/not_run</x:v>
      </x:c>
      <x:c r="O155" s="1370" t="str">
        <x:v>mer_01H...</x:v>
      </x:c>
      <x:c r="P155" s="1371" t="str">
        <x:v>允许上传手工证据</x:v>
      </x:c>
    </x:row>
    <x:row r="156" ht="34" customHeight="1">
      <x:c r="A156" s="1314" t="n">
        <x:v>5</x:v>
      </x:c>
      <x:c r="B156" s="1315" t="str">
        <x:v>测试用例、执行、证据与反馈域</x:v>
      </x:c>
      <x:c r="C156" s="1315" t="str">
        <x:v>FlakyProfile</x:v>
      </x:c>
      <x:c r="D156" s="1315" t="str">
        <x:v>flaky_profile_id</x:v>
      </x:c>
      <x:c r="E156" s="1315" t="str">
        <x:v>用例不稳定性统计主键</x:v>
      </x:c>
      <x:c r="F156" s="1315" t="str">
        <x:v>UUID/字符串</x:v>
      </x:c>
      <x:c r="G156" s="1315" t="str">
        <x:v>否</x:v>
      </x:c>
      <x:c r="H156" s="1315" t="str">
        <x:v>执行结果聚合时</x:v>
      </x:c>
      <x:c r="I156" s="1315" t="str">
        <x:v>质量分析服务</x:v>
      </x:c>
      <x:c r="J156" s="1315" t="str">
        <x:v>系统生成</x:v>
      </x:c>
      <x:c r="K156" s="1315" t="str">
        <x:v>test_case_id/test_case_version_id</x:v>
      </x:c>
      <x:c r="L156" s="1315" t="str">
        <x:v>用例版本唯一</x:v>
      </x:c>
      <x:c r="M156" s="1315" t="str">
        <x:v>FlakyProfile</x:v>
      </x:c>
      <x:c r="N156" s="1315" t="str">
        <x:v>stable/suspected/flaky/quarantined</x:v>
      </x:c>
      <x:c r="O156" s="1315" t="str">
        <x:v>fp_01H...</x:v>
      </x:c>
      <x:c r="P156" s="1316" t="str">
        <x:v>重试后通过不得直接算普通通过</x:v>
      </x:c>
    </x:row>
    <x:row r="157" ht="34" customHeight="1">
      <x:c r="A157" s="1369" t="n">
        <x:v>5</x:v>
      </x:c>
      <x:c r="B157" s="1370" t="str">
        <x:v>测试用例、执行、证据与反馈域</x:v>
      </x:c>
      <x:c r="C157" s="1370" t="str">
        <x:v>FlakyProfile</x:v>
      </x:c>
      <x:c r="D157" s="1370" t="str">
        <x:v>flaky_score/consecutive_failures/retry_passed/quarantine_status</x:v>
      </x:c>
      <x:c r="E157" s="1370" t="str">
        <x:v>不稳定评分、连续失败、重试通过和隔离状态</x:v>
      </x:c>
      <x:c r="F157" s="1370" t="str">
        <x:v>小数/整数/布尔/枚举</x:v>
      </x:c>
      <x:c r="G157" s="1370" t="str">
        <x:v>否</x:v>
      </x:c>
      <x:c r="H157" s="1370" t="str">
        <x:v>执行聚合后</x:v>
      </x:c>
      <x:c r="I157" s="1370" t="str">
        <x:v>质量分析服务</x:v>
      </x:c>
      <x:c r="J157" s="1370" t="str">
        <x:v>历史Execution</x:v>
      </x:c>
      <x:c r="K157" s="1370" t="str">
        <x:v>test_case_id</x:v>
      </x:c>
      <x:c r="L157" s="1370" t="str">
        <x:v>状态索引</x:v>
      </x:c>
      <x:c r="M157" s="1370" t="str">
        <x:v>FlakyProfile</x:v>
      </x:c>
      <x:c r="N157" s="1370" t="str">
        <x:v>随执行聚合</x:v>
      </x:c>
      <x:c r="O157" s="1370" t="str">
        <x:v>0.73/2/true/quarantined</x:v>
      </x:c>
      <x:c r="P157" s="1371" t="str">
        <x:v>阈值和窗口需可配置</x:v>
      </x:c>
    </x:row>
    <x:row r="158" ht="34" customHeight="1">
      <x:c r="A158" s="1314" t="n">
        <x:v>5</x:v>
      </x:c>
      <x:c r="B158" s="1315" t="str">
        <x:v>测试用例、执行、证据与反馈域</x:v>
      </x:c>
      <x:c r="C158" s="1315" t="str">
        <x:v>QuarantineRecord</x:v>
      </x:c>
      <x:c r="D158" s="1315" t="str">
        <x:v>quarantine_record_id</x:v>
      </x:c>
      <x:c r="E158" s="1315" t="str">
        <x:v>用例隔离记录主键</x:v>
      </x:c>
      <x:c r="F158" s="1315" t="str">
        <x:v>UUID/字符串</x:v>
      </x:c>
      <x:c r="G158" s="1315" t="str">
        <x:v>否</x:v>
      </x:c>
      <x:c r="H158" s="1315" t="str">
        <x:v>人工或策略隔离时</x:v>
      </x:c>
      <x:c r="I158" s="1315" t="str">
        <x:v>质量管理服务</x:v>
      </x:c>
      <x:c r="J158" s="1315" t="str">
        <x:v>系统生成</x:v>
      </x:c>
      <x:c r="K158" s="1315" t="str">
        <x:v>test_case_id、reason、owner</x:v>
      </x:c>
      <x:c r="L158" s="1315" t="str">
        <x:v>全局唯一</x:v>
      </x:c>
      <x:c r="M158" s="1315" t="str">
        <x:v>QuarantineRecord</x:v>
      </x:c>
      <x:c r="N158" s="1315" t="str">
        <x:v>active/released/expired</x:v>
      </x:c>
      <x:c r="O158" s="1315" t="str">
        <x:v>qr_01H...</x:v>
      </x:c>
      <x:c r="P158" s="1316" t="str">
        <x:v>隔离不删除用例和历史执行</x:v>
      </x:c>
    </x:row>
    <x:row r="159" ht="34" customHeight="1">
      <x:c r="A159" s="1380" t="n">
        <x:v>6</x:v>
      </x:c>
      <x:c r="B159" s="1381" t="str">
        <x:v>平台控制面</x:v>
      </x:c>
      <x:c r="C159" s="1381" t="str">
        <x:v>CommonFields</x:v>
      </x:c>
      <x:c r="D159" s="1381" t="str">
        <x:v>row_version</x:v>
      </x:c>
      <x:c r="E159" s="1381" t="str">
        <x:v>乐观锁版本号</x:v>
      </x:c>
      <x:c r="F159" s="1381" t="str">
        <x:v>整数</x:v>
      </x:c>
      <x:c r="G159" s="1381" t="str">
        <x:v>核心可编辑表必填</x:v>
      </x:c>
      <x:c r="H159" s="1381" t="str">
        <x:v>创建时为1，每次更新递增</x:v>
      </x:c>
      <x:c r="I159" s="1381" t="str">
        <x:v>Repository/数据库</x:v>
      </x:c>
      <x:c r="J159" s="1381" t="str">
        <x:v>系统维护</x:v>
      </x:c>
      <x:c r="K159" s="1381" t="str">
        <x:v>实体主键</x:v>
      </x:c>
      <x:c r="L159" s="1381" t="str">
        <x:v>普通索引可选</x:v>
      </x:c>
      <x:c r="M159" s="1381" t="str">
        <x:v>各业务表</x:v>
      </x:c>
      <x:c r="N159" s="1381" t="str">
        <x:v>递增</x:v>
      </x:c>
      <x:c r="O159" s="1381" t="str">
        <x:v>4</x:v>
      </x:c>
      <x:c r="P159" s="1382" t="str">
        <x:v>防止并发覆盖</x:v>
      </x:c>
    </x:row>
    <x:row r="160" ht="34" customHeight="1">
      <x:c r="A160" s="1314" t="n">
        <x:v>6</x:v>
      </x:c>
      <x:c r="B160" s="1315" t="str">
        <x:v>平台控制面</x:v>
      </x:c>
      <x:c r="C160" s="1315" t="str">
        <x:v>CommonFields</x:v>
      </x:c>
      <x:c r="D160" s="1315" t="str">
        <x:v>created_at/created_by/updated_at/updated_by/deleted_at</x:v>
      </x:c>
      <x:c r="E160" s="1315" t="str">
        <x:v>统一审计与软删除字段</x:v>
      </x:c>
      <x:c r="F160" s="1315" t="str">
        <x:v>时间/外键</x:v>
      </x:c>
      <x:c r="G160" s="1315" t="str">
        <x:v>是/条件必填</x:v>
      </x:c>
      <x:c r="H160" s="1315" t="str">
        <x:v>创建、更新、删除时</x:v>
      </x:c>
      <x:c r="I160" s="1315" t="str">
        <x:v>平台Repository</x:v>
      </x:c>
      <x:c r="J160" s="1315" t="str">
        <x:v>系统上下文</x:v>
      </x:c>
      <x:c r="K160" s="1315" t="str">
        <x:v>user_id/trace_id</x:v>
      </x:c>
      <x:c r="L160" s="1315" t="str">
        <x:v>时间和deleted_at索引</x:v>
      </x:c>
      <x:c r="M160" s="1315" t="str">
        <x:v>各业务表</x:v>
      </x:c>
      <x:c r="N160" s="1315" t="str">
        <x:v>随实体</x:v>
      </x:c>
      <x:c r="O160" s="1315" t="str">
        <x:v>2026-07-12/usr_01</x:v>
      </x:c>
      <x:c r="P160" s="1316" t="str">
        <x:v>所有核心表统一命名和时区</x:v>
      </x:c>
    </x:row>
    <x:row r="161" ht="34" customHeight="1">
      <x:c r="A161" s="1380" t="n">
        <x:v>6</x:v>
      </x:c>
      <x:c r="B161" s="1381" t="str">
        <x:v>平台控制面</x:v>
      </x:c>
      <x:c r="C161" s="1381" t="str">
        <x:v>CommonFields</x:v>
      </x:c>
      <x:c r="D161" s="1381" t="str">
        <x:v>tenant_id/project_id/trace_id/metadata</x:v>
      </x:c>
      <x:c r="E161" s="1381" t="str">
        <x:v>租户项目隔离、追踪和扩展元数据</x:v>
      </x:c>
      <x:c r="F161" s="1381" t="str">
        <x:v>外键/字符串/JSON</x:v>
      </x:c>
      <x:c r="G161" s="1381" t="str">
        <x:v>按实体必填</x:v>
      </x:c>
      <x:c r="H161" s="1381" t="str">
        <x:v>创建业务实体时</x:v>
      </x:c>
      <x:c r="I161" s="1381" t="str">
        <x:v>平台控制面</x:v>
      </x:c>
      <x:c r="J161" s="1381" t="str">
        <x:v>请求上下文</x:v>
      </x:c>
      <x:c r="K161" s="1381" t="str">
        <x:v>Tenant/Project/Trace</x:v>
      </x:c>
      <x:c r="L161" s="1381" t="str">
        <x:v>tenant+project组合索引</x:v>
      </x:c>
      <x:c r="M161" s="1381" t="str">
        <x:v>各业务表</x:v>
      </x:c>
      <x:c r="N161" s="1381" t="str">
        <x:v>随实体</x:v>
      </x:c>
      <x:c r="O161" s="1381" t="str">
        <x:v>tenant_01/prj_01/tr_01</x:v>
      </x:c>
      <x:c r="P161" s="1382" t="str">
        <x:v>metadata不得承载核心强语义字段</x:v>
      </x:c>
    </x:row>
    <x:row r="162" ht="34" customHeight="1">
      <x:c r="A162" s="1314" t="n">
        <x:v>6</x:v>
      </x:c>
      <x:c r="B162" s="1315" t="str">
        <x:v>平台控制面</x:v>
      </x:c>
      <x:c r="C162" s="1315" t="str">
        <x:v>DataGovernance</x:v>
      </x:c>
      <x:c r="D162" s="1315" t="str">
        <x:v>data_classification</x:v>
      </x:c>
      <x:c r="E162" s="1315" t="str">
        <x:v>数据分类级别</x:v>
      </x:c>
      <x:c r="F162" s="1315" t="str">
        <x:v>枚举</x:v>
      </x:c>
      <x:c r="G162" s="1315" t="str">
        <x:v>是</x:v>
      </x:c>
      <x:c r="H162" s="1315" t="str">
        <x:v>对象/字段登记时</x:v>
      </x:c>
      <x:c r="I162" s="1315" t="str">
        <x:v>数据治理服务</x:v>
      </x:c>
      <x:c r="J162" s="1315" t="str">
        <x:v>策略配置</x:v>
      </x:c>
      <x:c r="K162" s="1315" t="str">
        <x:v>retention/access policy</x:v>
      </x:c>
      <x:c r="L162" s="1315" t="str">
        <x:v>普通索引</x:v>
      </x:c>
      <x:c r="M162" s="1315" t="str">
        <x:v>Data Catalog</x:v>
      </x:c>
      <x:c r="N162" s="1315" t="str">
        <x:v>public/internal/confidential/secret</x:v>
      </x:c>
      <x:c r="O162" s="1315" t="str">
        <x:v>confidential</x:v>
      </x:c>
      <x:c r="P162" s="1316" t="str">
        <x:v>影响脱敏、访问和保留策略</x:v>
      </x:c>
    </x:row>
    <x:row r="163" ht="34" customHeight="1">
      <x:c r="A163" s="1380" t="n">
        <x:v>6</x:v>
      </x:c>
      <x:c r="B163" s="1381" t="str">
        <x:v>平台控制面</x:v>
      </x:c>
      <x:c r="C163" s="1381" t="str">
        <x:v>RetentionPolicy</x:v>
      </x:c>
      <x:c r="D163" s="1381" t="str">
        <x:v>retention_policy_id</x:v>
      </x:c>
      <x:c r="E163" s="1381" t="str">
        <x:v>数据保留策略主键</x:v>
      </x:c>
      <x:c r="F163" s="1381" t="str">
        <x:v>UUID/字符串</x:v>
      </x:c>
      <x:c r="G163" s="1381" t="str">
        <x:v>是</x:v>
      </x:c>
      <x:c r="H163" s="1381" t="str">
        <x:v>策略创建时</x:v>
      </x:c>
      <x:c r="I163" s="1381" t="str">
        <x:v>数据治理服务</x:v>
      </x:c>
      <x:c r="J163" s="1381" t="str">
        <x:v>系统生成</x:v>
      </x:c>
      <x:c r="K163" s="1381" t="str">
        <x:v>entity_type/classification</x:v>
      </x:c>
      <x:c r="L163" s="1381" t="str">
        <x:v>组合唯一</x:v>
      </x:c>
      <x:c r="M163" s="1381" t="str">
        <x:v>RetentionPolicy</x:v>
      </x:c>
      <x:c r="N163" s="1381" t="str">
        <x:v>active/retired</x:v>
      </x:c>
      <x:c r="O163" s="1381" t="str">
        <x:v>ret_execution_180d</x:v>
      </x:c>
      <x:c r="P163" s="1382" t="str">
        <x:v>删除必须遵循审计和法律保留</x:v>
      </x:c>
    </x:row>
    <x:row r="164" ht="34" customHeight="1">
      <x:c r="A164" s="1314" t="n">
        <x:v>6</x:v>
      </x:c>
      <x:c r="B164" s="1315" t="str">
        <x:v>平台控制面</x:v>
      </x:c>
      <x:c r="C164" s="1315" t="str">
        <x:v>AIModelRun</x:v>
      </x:c>
      <x:c r="D164" s="1315" t="str">
        <x:v>model_provider/model_name/model_version/temperature</x:v>
      </x:c>
      <x:c r="E164" s="1315" t="str">
        <x:v>模型供应商、模型版本和推理参数</x:v>
      </x:c>
      <x:c r="F164" s="1315" t="str">
        <x:v>字符串/小数</x:v>
      </x:c>
      <x:c r="G164" s="1315" t="str">
        <x:v>是</x:v>
      </x:c>
      <x:c r="H164" s="1315" t="str">
        <x:v>模型调用时</x:v>
      </x:c>
      <x:c r="I164" s="1315" t="str">
        <x:v>AI平台服务</x:v>
      </x:c>
      <x:c r="J164" s="1315" t="str">
        <x:v>运行配置</x:v>
      </x:c>
      <x:c r="K164" s="1315" t="str">
        <x:v>model_run_id</x:v>
      </x:c>
      <x:c r="L164" s="1315" t="str">
        <x:v>普通索引</x:v>
      </x:c>
      <x:c r="M164" s="1315" t="str">
        <x:v>ModelRun</x:v>
      </x:c>
      <x:c r="N164" s="1315" t="str">
        <x:v>随调用</x:v>
      </x:c>
      <x:c r="O164" s="1315" t="str">
        <x:v>openai/model-x/2026-06/0.2</x:v>
      </x:c>
      <x:c r="P164" s="1316" t="str">
        <x:v>模型参数必须可追溯</x:v>
      </x:c>
    </x:row>
    <x:row r="165" ht="34" customHeight="1">
      <x:c r="A165" s="1380" t="n">
        <x:v>6</x:v>
      </x:c>
      <x:c r="B165" s="1381" t="str">
        <x:v>平台控制面</x:v>
      </x:c>
      <x:c r="C165" s="1381" t="str">
        <x:v>AIModelRun</x:v>
      </x:c>
      <x:c r="D165" s="1381" t="str">
        <x:v>input_token_count/output_token_count/estimated_cost/latency_ms</x:v>
      </x:c>
      <x:c r="E165" s="1381" t="str">
        <x:v>模型Token、成本和耗时</x:v>
      </x:c>
      <x:c r="F165" s="1381" t="str">
        <x:v>整数/小数</x:v>
      </x:c>
      <x:c r="G165" s="1381" t="str">
        <x:v>否</x:v>
      </x:c>
      <x:c r="H165" s="1381" t="str">
        <x:v>调用完成时</x:v>
      </x:c>
      <x:c r="I165" s="1381" t="str">
        <x:v>AI平台服务</x:v>
      </x:c>
      <x:c r="J165" s="1381" t="str">
        <x:v>供应商响应/计算</x:v>
      </x:c>
      <x:c r="K165" s="1381" t="str">
        <x:v>model_run_id</x:v>
      </x:c>
      <x:c r="L165" s="1381" t="str">
        <x:v>时间和模型索引</x:v>
      </x:c>
      <x:c r="M165" s="1381" t="str">
        <x:v>ModelRun</x:v>
      </x:c>
      <x:c r="N165" s="1381" t="str">
        <x:v>随调用</x:v>
      </x:c>
      <x:c r="O165" s="1381" t="str">
        <x:v>4500/1800/0.08/3200</x:v>
      </x:c>
      <x:c r="P165" s="1382" t="str">
        <x:v>用于成本与质量评估</x:v>
      </x:c>
    </x:row>
    <x:row r="166" ht="34" customHeight="1">
      <x:c r="A166" s="1314" t="n">
        <x:v>6</x:v>
      </x:c>
      <x:c r="B166" s="1315" t="str">
        <x:v>平台控制面</x:v>
      </x:c>
      <x:c r="C166" s="1315" t="str">
        <x:v>AIModelRun</x:v>
      </x:c>
      <x:c r="D166" s="1315" t="str">
        <x:v>response_schema_version/safety_filter_result/pii_redaction_result/fallback_model</x:v>
      </x:c>
      <x:c r="E166" s="1315" t="str">
        <x:v>响应Schema、安全过滤、脱敏和降级模型</x:v>
      </x:c>
      <x:c r="F166" s="1315" t="str">
        <x:v>字符串/枚举</x:v>
      </x:c>
      <x:c r="G166" s="1315" t="str">
        <x:v>是/否</x:v>
      </x:c>
      <x:c r="H166" s="1315" t="str">
        <x:v>调用前后</x:v>
      </x:c>
      <x:c r="I166" s="1315" t="str">
        <x:v>AI平台服务</x:v>
      </x:c>
      <x:c r="J166" s="1315" t="str">
        <x:v>系统评估</x:v>
      </x:c>
      <x:c r="K166" s="1315" t="str">
        <x:v>model_run_id</x:v>
      </x:c>
      <x:c r="L166" s="1315" t="str">
        <x:v>普通索引</x:v>
      </x:c>
      <x:c r="M166" s="1315" t="str">
        <x:v>ModelRun</x:v>
      </x:c>
      <x:c r="N166" s="1315" t="str">
        <x:v>随调用</x:v>
      </x:c>
      <x:c r="O166" s="1315" t="str">
        <x:v>nl-testpoint.v2/passed/passed/model-y</x:v>
      </x:c>
      <x:c r="P166" s="1316" t="str">
        <x:v>敏感数据处理结果必须留痕</x:v>
      </x:c>
    </x:row>
    <x:row r="167" ht="34" customHeight="1">
      <x:c r="A167" s="1380" t="n">
        <x:v>6</x:v>
      </x:c>
      <x:c r="B167" s="1381" t="str">
        <x:v>平台控制面</x:v>
      </x:c>
      <x:c r="C167" s="1381" t="str">
        <x:v>AIEvaluationRun</x:v>
      </x:c>
      <x:c r="D167" s="1381" t="str">
        <x:v>ai_evaluation_run_id</x:v>
      </x:c>
      <x:c r="E167" s="1381" t="str">
        <x:v>AI生成能力评估任务主键</x:v>
      </x:c>
      <x:c r="F167" s="1381" t="str">
        <x:v>UUID/字符串</x:v>
      </x:c>
      <x:c r="G167" s="1381" t="str">
        <x:v>否</x:v>
      </x:c>
      <x:c r="H167" s="1381" t="str">
        <x:v>模型/Prompt变更评估时</x:v>
      </x:c>
      <x:c r="I167" s="1381" t="str">
        <x:v>AI治理服务</x:v>
      </x:c>
      <x:c r="J167" s="1381" t="str">
        <x:v>系统生成</x:v>
      </x:c>
      <x:c r="K167" s="1381" t="str">
        <x:v>dataset_id、model/prompt版本</x:v>
      </x:c>
      <x:c r="L167" s="1381" t="str">
        <x:v>全局唯一</x:v>
      </x:c>
      <x:c r="M167" s="1381" t="str">
        <x:v>AIEvaluationRun</x:v>
      </x:c>
      <x:c r="N167" s="1381" t="str">
        <x:v>queued/running/succeeded/failed</x:v>
      </x:c>
      <x:c r="O167" s="1381" t="str">
        <x:v>aier_01H...</x:v>
      </x:c>
      <x:c r="P167" s="1382" t="str">
        <x:v>发布前应对基准数据集评估</x:v>
      </x:c>
    </x:row>
    <x:row r="168" ht="34" customHeight="1">
      <x:c r="A168" s="1314" t="n">
        <x:v>7</x:v>
      </x:c>
      <x:c r="B168" s="1315" t="str">
        <x:v>技术基础设施域</x:v>
      </x:c>
      <x:c r="C168" s="1315" t="str">
        <x:v>MigrationRun</x:v>
      </x:c>
      <x:c r="D168" s="1315" t="str">
        <x:v>migration_run_id</x:v>
      </x:c>
      <x:c r="E168" s="1315" t="str">
        <x:v>旧平台数据迁移批次主键</x:v>
      </x:c>
      <x:c r="F168" s="1315" t="str">
        <x:v>UUID/字符串</x:v>
      </x:c>
      <x:c r="G168" s="1315" t="str">
        <x:v>否</x:v>
      </x:c>
      <x:c r="H168" s="1315" t="str">
        <x:v>执行一次迁移时</x:v>
      </x:c>
      <x:c r="I168" s="1315" t="str">
        <x:v>迁移服务</x:v>
      </x:c>
      <x:c r="J168" s="1315" t="str">
        <x:v>系统生成</x:v>
      </x:c>
      <x:c r="K168" s="1315" t="str">
        <x:v>source_version、target_version</x:v>
      </x:c>
      <x:c r="L168" s="1315" t="str">
        <x:v>全局唯一</x:v>
      </x:c>
      <x:c r="M168" s="1315" t="str">
        <x:v>MigrationRun</x:v>
      </x:c>
      <x:c r="N168" s="1315" t="str">
        <x:v>not_started/running/partial/verified/cut_over/rolled_back/failed</x:v>
      </x:c>
      <x:c r="O168" s="1315" t="str">
        <x:v>mig_01H...</x:v>
      </x:c>
      <x:c r="P168" s="1316" t="str">
        <x:v>每次迁移可验证和回滚</x:v>
      </x:c>
    </x:row>
    <x:row r="169" ht="34" customHeight="1">
      <x:c r="A169" s="1391" t="n">
        <x:v>7</x:v>
      </x:c>
      <x:c r="B169" s="1392" t="str">
        <x:v>技术基础设施域</x:v>
      </x:c>
      <x:c r="C169" s="1392" t="str">
        <x:v>LegacyMapping</x:v>
      </x:c>
      <x:c r="D169" s="1392" t="str">
        <x:v>legacy_mapping_id</x:v>
      </x:c>
      <x:c r="E169" s="1392" t="str">
        <x:v>旧实体与新实体映射主键</x:v>
      </x:c>
      <x:c r="F169" s="1392" t="str">
        <x:v>UUID/字符串</x:v>
      </x:c>
      <x:c r="G169" s="1392" t="str">
        <x:v>否</x:v>
      </x:c>
      <x:c r="H169" s="1392" t="str">
        <x:v>数据迁移时</x:v>
      </x:c>
      <x:c r="I169" s="1392" t="str">
        <x:v>迁移服务</x:v>
      </x:c>
      <x:c r="J169" s="1392" t="str">
        <x:v>系统生成</x:v>
      </x:c>
      <x:c r="K169" s="1392" t="str">
        <x:v>legacy_type/id、new_type/id</x:v>
      </x:c>
      <x:c r="L169" s="1392" t="str">
        <x:v>旧类型+旧ID唯一</x:v>
      </x:c>
      <x:c r="M169" s="1392" t="str">
        <x:v>LegacyMapping</x:v>
      </x:c>
      <x:c r="N169" s="1392" t="str">
        <x:v>mapped/migrated/verified/failed</x:v>
      </x:c>
      <x:c r="O169" s="1392" t="str">
        <x:v>lm_01H...</x:v>
      </x:c>
      <x:c r="P169" s="1393" t="str">
        <x:v>保留旧ID以支持历史追踪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a0237ce3fc54d9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5" hidden="0" customWidth="1"/>
    <x:col min="4" max="4" width="27" hidden="0" customWidth="1"/>
    <x:col min="5" max="5" width="10" hidden="0" customWidth="1"/>
    <x:col min="6" max="6" width="30" hidden="0" customWidth="1"/>
    <x:col min="7" max="7" width="18" hidden="0" customWidth="1"/>
    <x:col min="8" max="8" width="28" hidden="0" customWidth="1"/>
    <x:col min="9" max="9" width="40" hidden="0" customWidth="1"/>
  </x:cols>
  <x:sheetData>
    <x:row r="1" ht="34" customHeight="1">
      <x:c r="A1" s="1017" t="str">
        <x:v>核心实体关系与数据基数</x:v>
      </x:c>
      <x:c r="B1" s="1018"/>
      <x:c r="C1" s="1018"/>
      <x:c r="D1" s="1018"/>
      <x:c r="E1" s="1018"/>
      <x:c r="F1" s="1018"/>
      <x:c r="G1" s="1018"/>
      <x:c r="H1" s="1018"/>
      <x:c r="I1" s="1019"/>
    </x:row>
    <x:row r="3" ht="34" customHeight="1">
      <x:c r="A3" s="876" t="str">
        <x:v>关系编号</x:v>
      </x:c>
      <x:c r="B3" s="877" t="str">
        <x:v>上游实体</x:v>
      </x:c>
      <x:c r="C3" s="877" t="str">
        <x:v>关系</x:v>
      </x:c>
      <x:c r="D3" s="877" t="str">
        <x:v>下游实体</x:v>
      </x:c>
      <x:c r="E3" s="877" t="str">
        <x:v>基数</x:v>
      </x:c>
      <x:c r="F3" s="877" t="str">
        <x:v>关联字段</x:v>
      </x:c>
      <x:c r="G3" s="877" t="str">
        <x:v>创建阶段</x:v>
      </x:c>
      <x:c r="H3" s="877" t="str">
        <x:v>删除/失效策略</x:v>
      </x:c>
      <x:c r="I3" s="878" t="str">
        <x:v>说明</x:v>
      </x:c>
    </x:row>
    <x:row r="4" ht="34" customHeight="1">
      <x:c r="A4" s="1028" t="str">
        <x:v>R01</x:v>
      </x:c>
      <x:c r="B4" s="1029" t="str">
        <x:v>Project</x:v>
      </x:c>
      <x:c r="C4" s="1029" t="str">
        <x:v>包含</x:v>
      </x:c>
      <x:c r="D4" s="1029" t="str">
        <x:v>Requirement</x:v>
      </x:c>
      <x:c r="E4" s="1029" t="str">
        <x:v>1:N</x:v>
      </x:c>
      <x:c r="F4" s="1029" t="str">
        <x:v>Requirement.project_id</x:v>
      </x:c>
      <x:c r="G4" s="1029" t="str">
        <x:v>输入域</x:v>
      </x:c>
      <x:c r="H4" s="1029" t="str">
        <x:v>项目归档，不级联物理删除</x:v>
      </x:c>
      <x:c r="I4" s="1030" t="str">
        <x:v>所有需求必须有项目作用域</x:v>
      </x:c>
    </x:row>
    <x:row r="5" ht="34" customHeight="1">
      <x:c r="A5" s="1038" t="str">
        <x:v>R02</x:v>
      </x:c>
      <x:c r="B5" s="1039" t="str">
        <x:v>Requirement</x:v>
      </x:c>
      <x:c r="C5" s="1039" t="str">
        <x:v>关联</x:v>
      </x:c>
      <x:c r="D5" s="1039" t="str">
        <x:v>SourceRecord</x:v>
      </x:c>
      <x:c r="E5" s="1039" t="str">
        <x:v>1:N</x:v>
      </x:c>
      <x:c r="F5" s="1039" t="str">
        <x:v>SourceRecord.requirement_id</x:v>
      </x:c>
      <x:c r="G5" s="1039" t="str">
        <x:v>输入域</x:v>
      </x:c>
      <x:c r="H5" s="1039" t="str">
        <x:v>保留来源快照</x:v>
      </x:c>
      <x:c r="I5" s="1040" t="str">
        <x:v>一个需求可有多种来源</x:v>
      </x:c>
    </x:row>
    <x:row r="6" ht="34" customHeight="1">
      <x:c r="A6" s="1028" t="str">
        <x:v>R03</x:v>
      </x:c>
      <x:c r="B6" s="1029" t="str">
        <x:v>Requirement</x:v>
      </x:c>
      <x:c r="C6" s="1029" t="str">
        <x:v>包含</x:v>
      </x:c>
      <x:c r="D6" s="1029" t="str">
        <x:v>SourceDocument</x:v>
      </x:c>
      <x:c r="E6" s="1029" t="str">
        <x:v>1:N</x:v>
      </x:c>
      <x:c r="F6" s="1029" t="str">
        <x:v>SourceDocument.requirement_id</x:v>
      </x:c>
      <x:c r="G6" s="1029" t="str">
        <x:v>输入域</x:v>
      </x:c>
      <x:c r="H6" s="1029" t="str">
        <x:v>文档版本保留</x:v>
      </x:c>
      <x:c r="I6" s="1030" t="str">
        <x:v>需求可关联多份PRD</x:v>
      </x:c>
    </x:row>
    <x:row r="7" ht="34" customHeight="1">
      <x:c r="A7" s="1038" t="str">
        <x:v>R04</x:v>
      </x:c>
      <x:c r="B7" s="1039" t="str">
        <x:v>SourceDocument</x:v>
      </x:c>
      <x:c r="C7" s="1039" t="str">
        <x:v>拥有</x:v>
      </x:c>
      <x:c r="D7" s="1039" t="str">
        <x:v>DocumentVersion</x:v>
      </x:c>
      <x:c r="E7" s="1039" t="str">
        <x:v>1:N</x:v>
      </x:c>
      <x:c r="F7" s="1039" t="str">
        <x:v>DocumentVersion.document_id</x:v>
      </x:c>
      <x:c r="G7" s="1039" t="str">
        <x:v>输入域</x:v>
      </x:c>
      <x:c r="H7" s="1039" t="str">
        <x:v>旧版本superseded</x:v>
      </x:c>
      <x:c r="I7" s="1040" t="str">
        <x:v>生成绑定明确文档版本</x:v>
      </x:c>
    </x:row>
    <x:row r="8" ht="34" customHeight="1">
      <x:c r="A8" s="1028" t="str">
        <x:v>R05</x:v>
      </x:c>
      <x:c r="B8" s="1029" t="str">
        <x:v>DocumentVersion</x:v>
      </x:c>
      <x:c r="C8" s="1029" t="str">
        <x:v>包含</x:v>
      </x:c>
      <x:c r="D8" s="1029" t="str">
        <x:v>DocumentSection</x:v>
      </x:c>
      <x:c r="E8" s="1029" t="str">
        <x:v>1:N</x:v>
      </x:c>
      <x:c r="F8" s="1029" t="str">
        <x:v>DocumentSection.document_version_id</x:v>
      </x:c>
      <x:c r="G8" s="1029" t="str">
        <x:v>解析阶段</x:v>
      </x:c>
      <x:c r="H8" s="1029" t="str">
        <x:v>随文档版本保留</x:v>
      </x:c>
      <x:c r="I8" s="1030" t="str">
        <x:v>章节属于具体文档版本</x:v>
      </x:c>
    </x:row>
    <x:row r="9" ht="34" customHeight="1">
      <x:c r="A9" s="1038" t="str">
        <x:v>R06</x:v>
      </x:c>
      <x:c r="B9" s="1039" t="str">
        <x:v>GenerationContext</x:v>
      </x:c>
      <x:c r="C9" s="1039" t="str">
        <x:v>选择</x:v>
      </x:c>
      <x:c r="D9" s="1039" t="str">
        <x:v>DocumentSection</x:v>
      </x:c>
      <x:c r="E9" s="1039" t="str">
        <x:v>N:N</x:v>
      </x:c>
      <x:c r="F9" s="1039" t="str">
        <x:v>GenerationContextSection</x:v>
      </x:c>
      <x:c r="G9" s="1039" t="str">
        <x:v>模型调用前</x:v>
      </x:c>
      <x:c r="H9" s="1039" t="str">
        <x:v>上下文快照不可改</x:v>
      </x:c>
      <x:c r="I9" s="1040" t="str">
        <x:v>支持跨章节生成</x:v>
      </x:c>
    </x:row>
    <x:row r="10" ht="34" customHeight="1">
      <x:c r="A10" s="1028" t="str">
        <x:v>R07</x:v>
      </x:c>
      <x:c r="B10" s="1029" t="str">
        <x:v>GenerationContext</x:v>
      </x:c>
      <x:c r="C10" s="1029" t="str">
        <x:v>选择</x:v>
      </x:c>
      <x:c r="D10" s="1029" t="str">
        <x:v>Page</x:v>
      </x:c>
      <x:c r="E10" s="1029" t="str">
        <x:v>N:N</x:v>
      </x:c>
      <x:c r="F10" s="1029" t="str">
        <x:v>GenerationContextPage</x:v>
      </x:c>
      <x:c r="G10" s="1029" t="str">
        <x:v>模型调用前</x:v>
      </x:c>
      <x:c r="H10" s="1029" t="str">
        <x:v>上下文快照不可改</x:v>
      </x:c>
      <x:c r="I10" s="1030" t="str">
        <x:v>页面为可选范围</x:v>
      </x:c>
    </x:row>
    <x:row r="11" ht="34" customHeight="1">
      <x:c r="A11" s="1038" t="str">
        <x:v>R08</x:v>
      </x:c>
      <x:c r="B11" s="1039" t="str">
        <x:v>GenerationContext</x:v>
      </x:c>
      <x:c r="C11" s="1039" t="str">
        <x:v>产生</x:v>
      </x:c>
      <x:c r="D11" s="1039" t="str">
        <x:v>GenerationBatch</x:v>
      </x:c>
      <x:c r="E11" s="1039" t="str">
        <x:v>1:N</x:v>
      </x:c>
      <x:c r="F11" s="1039" t="str">
        <x:v>GenerationBatch.generation_context_id</x:v>
      </x:c>
      <x:c r="G11" s="1039" t="str">
        <x:v>生成阶段</x:v>
      </x:c>
      <x:c r="H11" s="1039" t="str">
        <x:v>批次记录保留</x:v>
      </x:c>
      <x:c r="I11" s="1040" t="str">
        <x:v>同一上下文可重新生成</x:v>
      </x:c>
    </x:row>
    <x:row r="12" ht="34" customHeight="1">
      <x:c r="A12" s="1028" t="str">
        <x:v>R09</x:v>
      </x:c>
      <x:c r="B12" s="1029" t="str">
        <x:v>GenerationBatch</x:v>
      </x:c>
      <x:c r="C12" s="1029" t="str">
        <x:v>产生</x:v>
      </x:c>
      <x:c r="D12" s="1029" t="str">
        <x:v>ModelRun</x:v>
      </x:c>
      <x:c r="E12" s="1029" t="str">
        <x:v>1:N</x:v>
      </x:c>
      <x:c r="F12" s="1029" t="str">
        <x:v>ModelRun.generation_batch_id</x:v>
      </x:c>
      <x:c r="G12" s="1029" t="str">
        <x:v>生成阶段</x:v>
      </x:c>
      <x:c r="H12" s="1029" t="str">
        <x:v>失败调用保留</x:v>
      </x:c>
      <x:c r="I12" s="1030" t="str">
        <x:v>支持重试或多模型</x:v>
      </x:c>
    </x:row>
    <x:row r="13" ht="34" customHeight="1">
      <x:c r="A13" s="1038" t="str">
        <x:v>R10</x:v>
      </x:c>
      <x:c r="B13" s="1039" t="str">
        <x:v>GenerationBatch</x:v>
      </x:c>
      <x:c r="C13" s="1039" t="str">
        <x:v>入库</x:v>
      </x:c>
      <x:c r="D13" s="1039" t="str">
        <x:v>TestAssetSource</x:v>
      </x:c>
      <x:c r="E13" s="1039" t="str">
        <x:v>1:N</x:v>
      </x:c>
      <x:c r="F13" s="1039" t="str">
        <x:v>TestAssetSource.generation_batch_id</x:v>
      </x:c>
      <x:c r="G13" s="1039" t="str">
        <x:v>资产入库</x:v>
      </x:c>
      <x:c r="H13" s="1039" t="str">
        <x:v>不可覆盖</x:v>
      </x:c>
      <x:c r="I13" s="1040" t="str">
        <x:v>资产追踪到批次</x:v>
      </x:c>
    </x:row>
    <x:row r="14" ht="34" customHeight="1">
      <x:c r="A14" s="1028" t="str">
        <x:v>R11</x:v>
      </x:c>
      <x:c r="B14" s="1029" t="str">
        <x:v>TestAsset</x:v>
      </x:c>
      <x:c r="C14" s="1029" t="str">
        <x:v>拥有</x:v>
      </x:c>
      <x:c r="D14" s="1029" t="str">
        <x:v>AssetVersion</x:v>
      </x:c>
      <x:c r="E14" s="1029" t="str">
        <x:v>1:N</x:v>
      </x:c>
      <x:c r="F14" s="1029" t="str">
        <x:v>AssetVersion.test_asset_id</x:v>
      </x:c>
      <x:c r="G14" s="1029" t="str">
        <x:v>资产域</x:v>
      </x:c>
      <x:c r="H14" s="1029" t="str">
        <x:v>版本不可物理覆盖</x:v>
      </x:c>
      <x:c r="I14" s="1030" t="str">
        <x:v>current_version_id指向当前版本</x:v>
      </x:c>
    </x:row>
    <x:row r="15" ht="34" customHeight="1">
      <x:c r="A15" s="1038" t="str">
        <x:v>R12</x:v>
      </x:c>
      <x:c r="B15" s="1039" t="str">
        <x:v>TestAsset</x:v>
      </x:c>
      <x:c r="C15" s="1039" t="str">
        <x:v>关联</x:v>
      </x:c>
      <x:c r="D15" s="1039" t="str">
        <x:v>TestAssetSource</x:v>
      </x:c>
      <x:c r="E15" s="1039" t="str">
        <x:v>1:N</x:v>
      </x:c>
      <x:c r="F15" s="1039" t="str">
        <x:v>TestAssetSource.test_asset_id</x:v>
      </x:c>
      <x:c r="G15" s="1039" t="str">
        <x:v>资产入库</x:v>
      </x:c>
      <x:c r="H15" s="1039" t="str">
        <x:v>来源不可被编辑覆盖</x:v>
      </x:c>
      <x:c r="I15" s="1040" t="str">
        <x:v>一资产可有多来源</x:v>
      </x:c>
    </x:row>
    <x:row r="16" ht="34" customHeight="1">
      <x:c r="A16" s="1028" t="str">
        <x:v>R13</x:v>
      </x:c>
      <x:c r="B16" s="1029" t="str">
        <x:v>TestAsset</x:v>
      </x:c>
      <x:c r="C16" s="1029" t="str">
        <x:v>关联</x:v>
      </x:c>
      <x:c r="D16" s="1029" t="str">
        <x:v>Requirement/Document/Section/Page</x:v>
      </x:c>
      <x:c r="E16" s="1029" t="str">
        <x:v>N:N</x:v>
      </x:c>
      <x:c r="F16" s="1029" t="str">
        <x:v>TestAssetSource多字段</x:v>
      </x:c>
      <x:c r="G16" s="1029" t="str">
        <x:v>资产入库</x:v>
      </x:c>
      <x:c r="H16" s="1029" t="str">
        <x:v>保留历史关系</x:v>
      </x:c>
      <x:c r="I16" s="1030" t="str">
        <x:v>来源追踪核心</x:v>
      </x:c>
    </x:row>
    <x:row r="17" ht="34" customHeight="1">
      <x:c r="A17" s="1038" t="str">
        <x:v>R14</x:v>
      </x:c>
      <x:c r="B17" s="1039" t="str">
        <x:v>TestAsset</x:v>
      </x:c>
      <x:c r="C17" s="1039" t="str">
        <x:v>存在重复关系</x:v>
      </x:c>
      <x:c r="D17" s="1039" t="str">
        <x:v>TestAsset</x:v>
      </x:c>
      <x:c r="E17" s="1039" t="str">
        <x:v>N:N</x:v>
      </x:c>
      <x:c r="F17" s="1039" t="str">
        <x:v>DuplicateRelation.source/target</x:v>
      </x:c>
      <x:c r="G17" s="1039" t="str">
        <x:v>去重阶段</x:v>
      </x:c>
      <x:c r="H17" s="1039" t="str">
        <x:v>关系可dismiss/merge</x:v>
      </x:c>
      <x:c r="I17" s="1040" t="str">
        <x:v>疑似重复不阻止入库</x:v>
      </x:c>
    </x:row>
    <x:row r="18" ht="34" customHeight="1">
      <x:c r="A18" s="1028" t="str">
        <x:v>R15</x:v>
      </x:c>
      <x:c r="B18" s="1029" t="str">
        <x:v>AssetVersion</x:v>
      </x:c>
      <x:c r="C18" s="1029" t="str">
        <x:v>接受</x:v>
      </x:c>
      <x:c r="D18" s="1029" t="str">
        <x:v>ReviewRecord</x:v>
      </x:c>
      <x:c r="E18" s="1029" t="str">
        <x:v>1:N</x:v>
      </x:c>
      <x:c r="F18" s="1029" t="str">
        <x:v>ReviewRecord.asset_version_id</x:v>
      </x:c>
      <x:c r="G18" s="1029" t="str">
        <x:v>审核阶段</x:v>
      </x:c>
      <x:c r="H18" s="1029" t="str">
        <x:v>审计保留</x:v>
      </x:c>
      <x:c r="I18" s="1030" t="str">
        <x:v>审核绑定具体版本</x:v>
      </x:c>
    </x:row>
    <x:row r="19" ht="34" customHeight="1">
      <x:c r="A19" s="1038" t="str">
        <x:v>R16</x:v>
      </x:c>
      <x:c r="B19" s="1039" t="str">
        <x:v>AssetVersion</x:v>
      </x:c>
      <x:c r="C19" s="1039" t="str">
        <x:v>发起</x:v>
      </x:c>
      <x:c r="D19" s="1039" t="str">
        <x:v>ConversionAttempt</x:v>
      </x:c>
      <x:c r="E19" s="1039" t="str">
        <x:v>1:N</x:v>
      </x:c>
      <x:c r="F19" s="1039" t="str">
        <x:v>ConversionAttempt.source_asset_version_id</x:v>
      </x:c>
      <x:c r="G19" s="1039" t="str">
        <x:v>转换域</x:v>
      </x:c>
      <x:c r="H19" s="1039" t="str">
        <x:v>Attempt不可覆盖</x:v>
      </x:c>
      <x:c r="I19" s="1040" t="str">
        <x:v>修改后重新转换形成新Attempt</x:v>
      </x:c>
    </x:row>
    <x:row r="20" ht="34" customHeight="1">
      <x:c r="A20" s="1028" t="str">
        <x:v>R17</x:v>
      </x:c>
      <x:c r="B20" s="1029" t="str">
        <x:v>ConversionAttempt</x:v>
      </x:c>
      <x:c r="C20" s="1029" t="str">
        <x:v>拥有</x:v>
      </x:c>
      <x:c r="D20" s="1029" t="str">
        <x:v>Manifest</x:v>
      </x:c>
      <x:c r="E20" s="1029" t="str">
        <x:v>1:1</x:v>
      </x:c>
      <x:c r="F20" s="1029" t="str">
        <x:v>Manifest.conversion_attempt_id</x:v>
      </x:c>
      <x:c r="G20" s="1029" t="str">
        <x:v>分析阶段</x:v>
      </x:c>
      <x:c r="H20" s="1029" t="str">
        <x:v>随Attempt保留</x:v>
      </x:c>
      <x:c r="I20" s="1030" t="str">
        <x:v>需求清单事实</x:v>
      </x:c>
    </x:row>
    <x:row r="21" ht="34" customHeight="1">
      <x:c r="A21" s="1038" t="str">
        <x:v>R18</x:v>
      </x:c>
      <x:c r="B21" s="1039" t="str">
        <x:v>ConversionAttempt</x:v>
      </x:c>
      <x:c r="C21" s="1039" t="str">
        <x:v>拥有</x:v>
      </x:c>
      <x:c r="D21" s="1039" t="str">
        <x:v>ResourceBinding</x:v>
      </x:c>
      <x:c r="E21" s="1039" t="str">
        <x:v>1:N</x:v>
      </x:c>
      <x:c r="F21" s="1039" t="str">
        <x:v>ResourceBinding.conversion_attempt_id</x:v>
      </x:c>
      <x:c r="G21" s="1039" t="str">
        <x:v>编排阶段</x:v>
      </x:c>
      <x:c r="H21" s="1039" t="str">
        <x:v>随Attempt保留</x:v>
      </x:c>
      <x:c r="I21" s="1040" t="str">
        <x:v>记录资源版本和冲突</x:v>
      </x:c>
    </x:row>
    <x:row r="22" ht="34" customHeight="1">
      <x:c r="A22" s="1028" t="str">
        <x:v>R19</x:v>
      </x:c>
      <x:c r="B22" s="1029" t="str">
        <x:v>ConversionAttempt</x:v>
      </x:c>
      <x:c r="C22" s="1029" t="str">
        <x:v>拥有</x:v>
      </x:c>
      <x:c r="D22" s="1029" t="str">
        <x:v>BoundExecutionPlan</x:v>
      </x:c>
      <x:c r="E22" s="1029" t="str">
        <x:v>1:1</x:v>
      </x:c>
      <x:c r="F22" s="1029" t="str">
        <x:v>BoundPlan.conversion_attempt_id</x:v>
      </x:c>
      <x:c r="G22" s="1029" t="str">
        <x:v>编排阶段</x:v>
      </x:c>
      <x:c r="H22" s="1029" t="str">
        <x:v>随Attempt保留</x:v>
      </x:c>
      <x:c r="I22" s="1030" t="str">
        <x:v>编译前权威计划</x:v>
      </x:c>
    </x:row>
    <x:row r="23" ht="34" customHeight="1">
      <x:c r="A23" s="1038" t="str">
        <x:v>R20</x:v>
      </x:c>
      <x:c r="B23" s="1039" t="str">
        <x:v>BoundExecutionPlan</x:v>
      </x:c>
      <x:c r="C23" s="1039" t="str">
        <x:v>展开</x:v>
      </x:c>
      <x:c r="D23" s="1039" t="str">
        <x:v>PlanVariant</x:v>
      </x:c>
      <x:c r="E23" s="1039" t="str">
        <x:v>1:N</x:v>
      </x:c>
      <x:c r="F23" s="1039" t="str">
        <x:v>PlanVariant.bound_plan_id</x:v>
      </x:c>
      <x:c r="G23" s="1039" t="str">
        <x:v>矩阵阶段</x:v>
      </x:c>
      <x:c r="H23" s="1039" t="str">
        <x:v>随Attempt保留</x:v>
      </x:c>
      <x:c r="I23" s="1040" t="str">
        <x:v>可一资产多用例</x:v>
      </x:c>
    </x:row>
    <x:row r="24" ht="34" customHeight="1">
      <x:c r="A24" s="1028" t="str">
        <x:v>R21</x:v>
      </x:c>
      <x:c r="B24" s="1029" t="str">
        <x:v>ConversionAttempt</x:v>
      </x:c>
      <x:c r="C24" s="1029" t="str">
        <x:v>生成</x:v>
      </x:c>
      <x:c r="D24" s="1029" t="str">
        <x:v>TestCase</x:v>
      </x:c>
      <x:c r="E24" s="1029" t="str">
        <x:v>1:N</x:v>
      </x:c>
      <x:c r="F24" s="1029" t="str">
        <x:v>ConversionAttemptCase</x:v>
      </x:c>
      <x:c r="G24" s="1029" t="str">
        <x:v>转换成功</x:v>
      </x:c>
      <x:c r="H24" s="1029" t="str">
        <x:v>用例可stale/disabled</x:v>
      </x:c>
      <x:c r="I24" s="1030" t="str">
        <x:v>失败时为0</x:v>
      </x:c>
    </x:row>
    <x:row r="25" ht="34" customHeight="1">
      <x:c r="A25" s="1038" t="str">
        <x:v>R22</x:v>
      </x:c>
      <x:c r="B25" s="1039" t="str">
        <x:v>TestAsset</x:v>
      </x:c>
      <x:c r="C25" s="1039" t="str">
        <x:v>派生</x:v>
      </x:c>
      <x:c r="D25" s="1039" t="str">
        <x:v>TestCase</x:v>
      </x:c>
      <x:c r="E25" s="1039" t="str">
        <x:v>1:N</x:v>
      </x:c>
      <x:c r="F25" s="1039" t="str">
        <x:v>TestCase.source_asset_id</x:v>
      </x:c>
      <x:c r="G25" s="1039" t="str">
        <x:v>转换成功</x:v>
      </x:c>
      <x:c r="H25" s="1039" t="str">
        <x:v>资产删除不级联删除用例</x:v>
      </x:c>
      <x:c r="I25" s="1040" t="str">
        <x:v>保留追踪</x:v>
      </x:c>
    </x:row>
    <x:row r="26" ht="34" customHeight="1">
      <x:c r="A26" s="1028" t="str">
        <x:v>R23</x:v>
      </x:c>
      <x:c r="B26" s="1029" t="str">
        <x:v>TestCase</x:v>
      </x:c>
      <x:c r="C26" s="1029" t="str">
        <x:v>拥有</x:v>
      </x:c>
      <x:c r="D26" s="1029" t="str">
        <x:v>TestCaseVersion</x:v>
      </x:c>
      <x:c r="E26" s="1029" t="str">
        <x:v>1:N</x:v>
      </x:c>
      <x:c r="F26" s="1029" t="str">
        <x:v>TestCaseVersion.test_case_id</x:v>
      </x:c>
      <x:c r="G26" s="1029" t="str">
        <x:v>编译成功</x:v>
      </x:c>
      <x:c r="H26" s="1029" t="str">
        <x:v>版本不可覆盖</x:v>
      </x:c>
      <x:c r="I26" s="1030" t="str">
        <x:v>Runner绑定明确版本</x:v>
      </x:c>
    </x:row>
    <x:row r="27" ht="34" customHeight="1">
      <x:c r="A27" s="1038" t="str">
        <x:v>R24</x:v>
      </x:c>
      <x:c r="B27" s="1039" t="str">
        <x:v>TestCaseVersion</x:v>
      </x:c>
      <x:c r="C27" s="1039" t="str">
        <x:v>绑定</x:v>
      </x:c>
      <x:c r="D27" s="1039" t="str">
        <x:v>ResourceBindingSnapshot</x:v>
      </x:c>
      <x:c r="E27" s="1039" t="str">
        <x:v>1:1</x:v>
      </x:c>
      <x:c r="F27" s="1039" t="str">
        <x:v>snapshot.test_case_version_id</x:v>
      </x:c>
      <x:c r="G27" s="1039" t="str">
        <x:v>用例创建</x:v>
      </x:c>
      <x:c r="H27" s="1039" t="str">
        <x:v>不可变</x:v>
      </x:c>
      <x:c r="I27" s="1040" t="str">
        <x:v>用于复现和失效分析</x:v>
      </x:c>
    </x:row>
    <x:row r="28" ht="34" customHeight="1">
      <x:c r="A28" s="1028" t="str">
        <x:v>R25</x:v>
      </x:c>
      <x:c r="B28" s="1029" t="str">
        <x:v>ExecutionJob</x:v>
      </x:c>
      <x:c r="C28" s="1029" t="str">
        <x:v>包含</x:v>
      </x:c>
      <x:c r="D28" s="1029" t="str">
        <x:v>Execution</x:v>
      </x:c>
      <x:c r="E28" s="1029" t="str">
        <x:v>1:N</x:v>
      </x:c>
      <x:c r="F28" s="1029" t="str">
        <x:v>Execution.execution_job_id</x:v>
      </x:c>
      <x:c r="G28" s="1029" t="str">
        <x:v>调度阶段</x:v>
      </x:c>
      <x:c r="H28" s="1029" t="str">
        <x:v>执行记录永久/按策略归档</x:v>
      </x:c>
      <x:c r="I28" s="1030" t="str">
        <x:v>任务可包含多用例</x:v>
      </x:c>
    </x:row>
    <x:row r="29" ht="34" customHeight="1">
      <x:c r="A29" s="1038" t="str">
        <x:v>R26</x:v>
      </x:c>
      <x:c r="B29" s="1039" t="str">
        <x:v>TestCaseVersion</x:v>
      </x:c>
      <x:c r="C29" s="1039" t="str">
        <x:v>被执行</x:v>
      </x:c>
      <x:c r="D29" s="1039" t="str">
        <x:v>Execution</x:v>
      </x:c>
      <x:c r="E29" s="1039" t="str">
        <x:v>1:N</x:v>
      </x:c>
      <x:c r="F29" s="1039" t="str">
        <x:v>Execution.test_case_version_id</x:v>
      </x:c>
      <x:c r="G29" s="1039" t="str">
        <x:v>执行阶段</x:v>
      </x:c>
      <x:c r="H29" s="1039" t="str">
        <x:v>记录保留</x:v>
      </x:c>
      <x:c r="I29" s="1040" t="str">
        <x:v>执行事实绑定机器版本</x:v>
      </x:c>
    </x:row>
    <x:row r="30" ht="34" customHeight="1">
      <x:c r="A30" s="1028" t="str">
        <x:v>R27</x:v>
      </x:c>
      <x:c r="B30" s="1029" t="str">
        <x:v>Execution</x:v>
      </x:c>
      <x:c r="C30" s="1029" t="str">
        <x:v>产生</x:v>
      </x:c>
      <x:c r="D30" s="1029" t="str">
        <x:v>AssertionResult</x:v>
      </x:c>
      <x:c r="E30" s="1029" t="str">
        <x:v>1:N</x:v>
      </x:c>
      <x:c r="F30" s="1029" t="str">
        <x:v>AssertionResult.execution_id</x:v>
      </x:c>
      <x:c r="G30" s="1029" t="str">
        <x:v>执行阶段</x:v>
      </x:c>
      <x:c r="H30" s="1029" t="str">
        <x:v>随执行保留</x:v>
      </x:c>
      <x:c r="I30" s="1030" t="str">
        <x:v>每条断言独立结果</x:v>
      </x:c>
    </x:row>
    <x:row r="31" ht="34" customHeight="1">
      <x:c r="A31" s="1038" t="str">
        <x:v>R28</x:v>
      </x:c>
      <x:c r="B31" s="1039" t="str">
        <x:v>Execution</x:v>
      </x:c>
      <x:c r="C31" s="1039" t="str">
        <x:v>产生</x:v>
      </x:c>
      <x:c r="D31" s="1039" t="str">
        <x:v>Evidence</x:v>
      </x:c>
      <x:c r="E31" s="1039" t="str">
        <x:v>1:N</x:v>
      </x:c>
      <x:c r="F31" s="1039" t="str">
        <x:v>Evidence.execution_id</x:v>
      </x:c>
      <x:c r="G31" s="1039" t="str">
        <x:v>执行阶段</x:v>
      </x:c>
      <x:c r="H31" s="1039" t="str">
        <x:v>按保留策略过期</x:v>
      </x:c>
      <x:c r="I31" s="1040" t="str">
        <x:v>证据元数据仍可保留</x:v>
      </x:c>
    </x:row>
    <x:row r="32" ht="34" customHeight="1">
      <x:c r="A32" s="1028" t="str">
        <x:v>R29</x:v>
      </x:c>
      <x:c r="B32" s="1029" t="str">
        <x:v>ExecutionJob/Execution</x:v>
      </x:c>
      <x:c r="C32" s="1029" t="str">
        <x:v>生成</x:v>
      </x:c>
      <x:c r="D32" s="1029" t="str">
        <x:v>Report</x:v>
      </x:c>
      <x:c r="E32" s="1029" t="str">
        <x:v>1:N/1:1</x:v>
      </x:c>
      <x:c r="F32" s="1029" t="str">
        <x:v>Report.execution_job_id</x:v>
      </x:c>
      <x:c r="G32" s="1029" t="str">
        <x:v>报告阶段</x:v>
      </x:c>
      <x:c r="H32" s="1029" t="str">
        <x:v>可重建</x:v>
      </x:c>
      <x:c r="I32" s="1030" t="str">
        <x:v>报告不是执行事实源</x:v>
      </x:c>
    </x:row>
    <x:row r="33" ht="34" customHeight="1">
      <x:c r="A33" s="1038" t="str">
        <x:v>R30</x:v>
      </x:c>
      <x:c r="B33" s="1039" t="str">
        <x:v>Execution</x:v>
      </x:c>
      <x:c r="C33" s="1039" t="str">
        <x:v>形成</x:v>
      </x:c>
      <x:c r="D33" s="1039" t="str">
        <x:v>FailureAnalysis</x:v>
      </x:c>
      <x:c r="E33" s="1039" t="str">
        <x:v>1:0..N</x:v>
      </x:c>
      <x:c r="F33" s="1039" t="str">
        <x:v>FailureAnalysis.execution_id</x:v>
      </x:c>
      <x:c r="G33" s="1039" t="str">
        <x:v>反馈阶段</x:v>
      </x:c>
      <x:c r="H33" s="1039" t="str">
        <x:v>人工确认保留</x:v>
      </x:c>
      <x:c r="I33" s="1040" t="str">
        <x:v>可多次分析修正</x:v>
      </x:c>
    </x:row>
    <x:row r="34" ht="34" customHeight="1">
      <x:c r="A34" s="1028" t="str">
        <x:v>R31</x:v>
      </x:c>
      <x:c r="B34" s="1029" t="str">
        <x:v>FailureAnalysis</x:v>
      </x:c>
      <x:c r="C34" s="1029" t="str">
        <x:v>关联</x:v>
      </x:c>
      <x:c r="D34" s="1029" t="str">
        <x:v>DefectLink</x:v>
      </x:c>
      <x:c r="E34" s="1029" t="str">
        <x:v>1:0..N</x:v>
      </x:c>
      <x:c r="F34" s="1029" t="str">
        <x:v>DefectLink.execution_id</x:v>
      </x:c>
      <x:c r="G34" s="1029" t="str">
        <x:v>反馈阶段</x:v>
      </x:c>
      <x:c r="H34" s="1029" t="str">
        <x:v>外部缺陷关闭不删除链接</x:v>
      </x:c>
      <x:c r="I34" s="1030" t="str">
        <x:v>携带全链路ID</x:v>
      </x:c>
    </x:row>
    <x:row r="35" ht="34" customHeight="1">
      <x:c r="A35" s="1038" t="str">
        <x:v>R32</x:v>
      </x:c>
      <x:c r="B35" s="1039" t="str">
        <x:v>ResourceVersion</x:v>
      </x:c>
      <x:c r="C35" s="1039" t="str">
        <x:v>失效</x:v>
      </x:c>
      <x:c r="D35" s="1039" t="str">
        <x:v>TestCase</x:v>
      </x:c>
      <x:c r="E35" s="1039" t="str">
        <x:v>N:N</x:v>
      </x:c>
      <x:c r="F35" s="1039" t="str">
        <x:v>ResourceBindingSnapshot</x:v>
      </x:c>
      <x:c r="G35" s="1039" t="str">
        <x:v>资源变更</x:v>
      </x:c>
      <x:c r="H35" s="1039" t="str">
        <x:v>将Case标记stale</x:v>
      </x:c>
      <x:c r="I35" s="1040" t="str">
        <x:v>不修改资产内容</x:v>
      </x:c>
    </x:row>
    <x:row r="36" ht="34" customHeight="1">
      <x:c r="A36" s="1314" t="str">
        <x:v>R33</x:v>
      </x:c>
      <x:c r="B36" s="1315" t="str">
        <x:v>Requirement</x:v>
      </x:c>
      <x:c r="C36" s="1315" t="str">
        <x:v>拥有</x:v>
      </x:c>
      <x:c r="D36" s="1315" t="str">
        <x:v>RequirementVersion</x:v>
      </x:c>
      <x:c r="E36" s="1315" t="str">
        <x:v>1:N</x:v>
      </x:c>
      <x:c r="F36" s="1315" t="str">
        <x:v>RequirementVersion.requirement_id</x:v>
      </x:c>
      <x:c r="G36" s="1315" t="str">
        <x:v>需求变更</x:v>
      </x:c>
      <x:c r="H36" s="1315" t="str">
        <x:v>旧版本superseded但保留</x:v>
      </x:c>
      <x:c r="I36" s="1316" t="str">
        <x:v>生成和覆盖必须绑定需求版本</x:v>
      </x:c>
    </x:row>
    <x:row r="37" ht="34" customHeight="1">
      <x:c r="A37" s="1336" t="str">
        <x:v>R34</x:v>
      </x:c>
      <x:c r="B37" s="1337" t="str">
        <x:v>RequirementVersion</x:v>
      </x:c>
      <x:c r="C37" s="1337" t="str">
        <x:v>包含</x:v>
      </x:c>
      <x:c r="D37" s="1337" t="str">
        <x:v>RequirementItem</x:v>
      </x:c>
      <x:c r="E37" s="1337" t="str">
        <x:v>1:N</x:v>
      </x:c>
      <x:c r="F37" s="1337" t="str">
        <x:v>RequirementItem.requirement_version_id</x:v>
      </x:c>
      <x:c r="G37" s="1337" t="str">
        <x:v>需求结构化</x:v>
      </x:c>
      <x:c r="H37" s="1337" t="str">
        <x:v>随需求版本保留</x:v>
      </x:c>
      <x:c r="I37" s="1338" t="str">
        <x:v>细粒度可测试需求条目</x:v>
      </x:c>
    </x:row>
    <x:row r="38" ht="34" customHeight="1">
      <x:c r="A38" s="1314" t="str">
        <x:v>R35</x:v>
      </x:c>
      <x:c r="B38" s="1315" t="str">
        <x:v>RequirementVersion</x:v>
      </x:c>
      <x:c r="C38" s="1315" t="str">
        <x:v>包含</x:v>
      </x:c>
      <x:c r="D38" s="1315" t="str">
        <x:v>AcceptanceCriterion</x:v>
      </x:c>
      <x:c r="E38" s="1315" t="str">
        <x:v>1:N</x:v>
      </x:c>
      <x:c r="F38" s="1315" t="str">
        <x:v>AcceptanceCriterion.requirement_version_id</x:v>
      </x:c>
      <x:c r="G38" s="1315" t="str">
        <x:v>需求结构化</x:v>
      </x:c>
      <x:c r="H38" s="1315" t="str">
        <x:v>随需求版本保留</x:v>
      </x:c>
      <x:c r="I38" s="1316" t="str">
        <x:v>验收标准覆盖对象</x:v>
      </x:c>
    </x:row>
    <x:row r="39" ht="34" customHeight="1">
      <x:c r="A39" s="1336" t="str">
        <x:v>R36</x:v>
      </x:c>
      <x:c r="B39" s="1337" t="str">
        <x:v>RequirementVersion</x:v>
      </x:c>
      <x:c r="C39" s="1337" t="str">
        <x:v>包含</x:v>
      </x:c>
      <x:c r="D39" s="1337" t="str">
        <x:v>BusinessRule</x:v>
      </x:c>
      <x:c r="E39" s="1337" t="str">
        <x:v>1:N</x:v>
      </x:c>
      <x:c r="F39" s="1337" t="str">
        <x:v>BusinessRule.requirement_version_id</x:v>
      </x:c>
      <x:c r="G39" s="1337" t="str">
        <x:v>需求结构化</x:v>
      </x:c>
      <x:c r="H39" s="1337" t="str">
        <x:v>规则可retired</x:v>
      </x:c>
      <x:c r="I39" s="1338" t="str">
        <x:v>业务规则可跨条目</x:v>
      </x:c>
    </x:row>
    <x:row r="40" ht="34" customHeight="1">
      <x:c r="A40" s="1314" t="str">
        <x:v>R37</x:v>
      </x:c>
      <x:c r="B40" s="1315" t="str">
        <x:v>RequirementItem/AcceptanceCriterion/BusinessRule</x:v>
      </x:c>
      <x:c r="C40" s="1315" t="str">
        <x:v>被覆盖</x:v>
      </x:c>
      <x:c r="D40" s="1315" t="str">
        <x:v>TestAsset/TestCase</x:v>
      </x:c>
      <x:c r="E40" s="1315" t="str">
        <x:v>N:N</x:v>
      </x:c>
      <x:c r="F40" s="1315" t="str">
        <x:v>CoverageRelation</x:v>
      </x:c>
      <x:c r="G40" s="1315" t="str">
        <x:v>资产入库/转换</x:v>
      </x:c>
      <x:c r="H40" s="1315" t="str">
        <x:v>关系状态可重算</x:v>
      </x:c>
      <x:c r="I40" s="1316" t="str">
        <x:v>来源关系和覆盖关系分开</x:v>
      </x:c>
    </x:row>
    <x:row r="41" ht="34" customHeight="1">
      <x:c r="A41" s="1336" t="str">
        <x:v>R38</x:v>
      </x:c>
      <x:c r="B41" s="1337" t="str">
        <x:v>DocumentVersion</x:v>
      </x:c>
      <x:c r="C41" s="1337" t="str">
        <x:v>包含</x:v>
      </x:c>
      <x:c r="D41" s="1337" t="str">
        <x:v>DocumentPage</x:v>
      </x:c>
      <x:c r="E41" s="1337" t="str">
        <x:v>1:N</x:v>
      </x:c>
      <x:c r="F41" s="1337" t="str">
        <x:v>DocumentPage.document_version_id</x:v>
      </x:c>
      <x:c r="G41" s="1337" t="str">
        <x:v>文档解析</x:v>
      </x:c>
      <x:c r="H41" s="1337" t="str">
        <x:v>随文档版本保留</x:v>
      </x:c>
      <x:c r="I41" s="1338" t="str">
        <x:v>物理页与页面对象分离</x:v>
      </x:c>
    </x:row>
    <x:row r="42" ht="34" customHeight="1">
      <x:c r="A42" s="1314" t="str">
        <x:v>R39</x:v>
      </x:c>
      <x:c r="B42" s="1315" t="str">
        <x:v>GenerationContext</x:v>
      </x:c>
      <x:c r="C42" s="1315" t="str">
        <x:v>绑定</x:v>
      </x:c>
      <x:c r="D42" s="1315" t="str">
        <x:v>RequirementVersion</x:v>
      </x:c>
      <x:c r="E42" s="1315" t="str">
        <x:v>N:1</x:v>
      </x:c>
      <x:c r="F42" s="1315" t="str">
        <x:v>GenerationContext.requirement_version_id</x:v>
      </x:c>
      <x:c r="G42" s="1315" t="str">
        <x:v>模型调用前</x:v>
      </x:c>
      <x:c r="H42" s="1315" t="str">
        <x:v>上下文不可改</x:v>
      </x:c>
      <x:c r="I42" s="1316" t="str">
        <x:v>确保生成基于明确需求版本</x:v>
      </x:c>
    </x:row>
    <x:row r="43" ht="34" customHeight="1">
      <x:c r="A43" s="1336" t="str">
        <x:v>R40</x:v>
      </x:c>
      <x:c r="B43" s="1337" t="str">
        <x:v>Release</x:v>
      </x:c>
      <x:c r="C43" s="1337" t="str">
        <x:v>包含</x:v>
      </x:c>
      <x:c r="D43" s="1337" t="str">
        <x:v>Build</x:v>
      </x:c>
      <x:c r="E43" s="1337" t="str">
        <x:v>1:N</x:v>
      </x:c>
      <x:c r="F43" s="1337" t="str">
        <x:v>Build.release_id</x:v>
      </x:c>
      <x:c r="G43" s="1337" t="str">
        <x:v>CI构建</x:v>
      </x:c>
      <x:c r="H43" s="1337" t="str">
        <x:v>构建历史保留</x:v>
      </x:c>
      <x:c r="I43" s="1338" t="str">
        <x:v>报告定位具体Build</x:v>
      </x:c>
    </x:row>
    <x:row r="44" ht="34" customHeight="1">
      <x:c r="A44" s="1314" t="str">
        <x:v>R41</x:v>
      </x:c>
      <x:c r="B44" s="1315" t="str">
        <x:v>TestSuite</x:v>
      </x:c>
      <x:c r="C44" s="1315" t="str">
        <x:v>包含</x:v>
      </x:c>
      <x:c r="D44" s="1315" t="str">
        <x:v>TestCase</x:v>
      </x:c>
      <x:c r="E44" s="1315" t="str">
        <x:v>N:N</x:v>
      </x:c>
      <x:c r="F44" s="1315" t="str">
        <x:v>TestSuiteCaseRelation</x:v>
      </x:c>
      <x:c r="G44" s="1315" t="str">
        <x:v>测试组织</x:v>
      </x:c>
      <x:c r="H44" s="1315" t="str">
        <x:v>关系可启停</x:v>
      </x:c>
      <x:c r="I44" s="1316" t="str">
        <x:v>用例不复制</x:v>
      </x:c>
    </x:row>
    <x:row r="45" ht="34" customHeight="1">
      <x:c r="A45" s="1336" t="str">
        <x:v>R42</x:v>
      </x:c>
      <x:c r="B45" s="1337" t="str">
        <x:v>TestPlan</x:v>
      </x:c>
      <x:c r="C45" s="1337" t="str">
        <x:v>引用</x:v>
      </x:c>
      <x:c r="D45" s="1337" t="str">
        <x:v>TestSuite/TestCase</x:v>
      </x:c>
      <x:c r="E45" s="1337" t="str">
        <x:v>N:N</x:v>
      </x:c>
      <x:c r="F45" s="1337" t="str">
        <x:v>TestPlanScope</x:v>
      </x:c>
      <x:c r="G45" s="1337" t="str">
        <x:v>计划设计</x:v>
      </x:c>
      <x:c r="H45" s="1337" t="str">
        <x:v>计划快照保留</x:v>
      </x:c>
      <x:c r="I45" s="1338" t="str">
        <x:v>计划可选择套件或单用例</x:v>
      </x:c>
    </x:row>
    <x:row r="46" ht="34" customHeight="1">
      <x:c r="A46" s="1314" t="str">
        <x:v>R43</x:v>
      </x:c>
      <x:c r="B46" s="1315" t="str">
        <x:v>TestPlan</x:v>
      </x:c>
      <x:c r="C46" s="1315" t="str">
        <x:v>验证</x:v>
      </x:c>
      <x:c r="D46" s="1315" t="str">
        <x:v>Release/Build</x:v>
      </x:c>
      <x:c r="E46" s="1315" t="str">
        <x:v>N:1</x:v>
      </x:c>
      <x:c r="F46" s="1315" t="str">
        <x:v>release_id/build_id</x:v>
      </x:c>
      <x:c r="G46" s="1315" t="str">
        <x:v>计划创建</x:v>
      </x:c>
      <x:c r="H46" s="1315" t="str">
        <x:v>计划完成后保留</x:v>
      </x:c>
      <x:c r="I46" s="1316" t="str">
        <x:v>明确被测版本</x:v>
      </x:c>
    </x:row>
    <x:row r="47" ht="34" customHeight="1">
      <x:c r="A47" s="1336" t="str">
        <x:v>R44</x:v>
      </x:c>
      <x:c r="B47" s="1337" t="str">
        <x:v>TestCampaign</x:v>
      </x:c>
      <x:c r="C47" s="1337" t="str">
        <x:v>包含</x:v>
      </x:c>
      <x:c r="D47" s="1337" t="str">
        <x:v>TestPlan</x:v>
      </x:c>
      <x:c r="E47" s="1337" t="str">
        <x:v>1:N</x:v>
      </x:c>
      <x:c r="F47" s="1337" t="str">
        <x:v>TestPlan.campaign_id</x:v>
      </x:c>
      <x:c r="G47" s="1337" t="str">
        <x:v>活动管理</x:v>
      </x:c>
      <x:c r="H47" s="1337" t="str">
        <x:v>活动完成后归档</x:v>
      </x:c>
      <x:c r="I47" s="1338" t="str">
        <x:v>跨环境/专项汇总</x:v>
      </x:c>
    </x:row>
    <x:row r="48" ht="34" customHeight="1">
      <x:c r="A48" s="1314" t="str">
        <x:v>R45</x:v>
      </x:c>
      <x:c r="B48" s="1315" t="str">
        <x:v>TestPlan</x:v>
      </x:c>
      <x:c r="C48" s="1315" t="str">
        <x:v>产生</x:v>
      </x:c>
      <x:c r="D48" s="1315" t="str">
        <x:v>TestPlanExecution</x:v>
      </x:c>
      <x:c r="E48" s="1315" t="str">
        <x:v>1:N</x:v>
      </x:c>
      <x:c r="F48" s="1315" t="str">
        <x:v>TestPlanExecution.test_plan_id</x:v>
      </x:c>
      <x:c r="G48" s="1315" t="str">
        <x:v>计划执行</x:v>
      </x:c>
      <x:c r="H48" s="1315" t="str">
        <x:v>执行历史保留</x:v>
      </x:c>
      <x:c r="I48" s="1316" t="str">
        <x:v>关联通用ExecutionJob</x:v>
      </x:c>
    </x:row>
    <x:row r="49" ht="34" customHeight="1">
      <x:c r="A49" s="1336" t="str">
        <x:v>R46</x:v>
      </x:c>
      <x:c r="B49" s="1337" t="str">
        <x:v>DataProfile</x:v>
      </x:c>
      <x:c r="C49" s="1337" t="str">
        <x:v>被占用</x:v>
      </x:c>
      <x:c r="D49" s="1337" t="str">
        <x:v>DataReservation</x:v>
      </x:c>
      <x:c r="E49" s="1337" t="str">
        <x:v>1:N</x:v>
      </x:c>
      <x:c r="F49" s="1337" t="str">
        <x:v>DataReservation.data_profile_id</x:v>
      </x:c>
      <x:c r="G49" s="1337" t="str">
        <x:v>执行准备</x:v>
      </x:c>
      <x:c r="H49" s="1337" t="str">
        <x:v>释放/过期</x:v>
      </x:c>
      <x:c r="I49" s="1338" t="str">
        <x:v>独占数据防并发冲突</x:v>
      </x:c>
    </x:row>
    <x:row r="50" ht="34" customHeight="1">
      <x:c r="A50" s="1314" t="str">
        <x:v>R47</x:v>
      </x:c>
      <x:c r="B50" s="1315" t="str">
        <x:v>Environment</x:v>
      </x:c>
      <x:c r="C50" s="1315" t="str">
        <x:v>被预占</x:v>
      </x:c>
      <x:c r="D50" s="1315" t="str">
        <x:v>EnvironmentReservation</x:v>
      </x:c>
      <x:c r="E50" s="1315" t="str">
        <x:v>1:N</x:v>
      </x:c>
      <x:c r="F50" s="1315" t="str">
        <x:v>EnvironmentReservation.environment_id</x:v>
      </x:c>
      <x:c r="G50" s="1315" t="str">
        <x:v>调度执行</x:v>
      </x:c>
      <x:c r="H50" s="1315" t="str">
        <x:v>释放/过期</x:v>
      </x:c>
      <x:c r="I50" s="1316" t="str">
        <x:v>支持独占和容量</x:v>
      </x:c>
    </x:row>
    <x:row r="51" ht="34" customHeight="1">
      <x:c r="A51" s="1336" t="str">
        <x:v>R48</x:v>
      </x:c>
      <x:c r="B51" s="1337" t="str">
        <x:v>Execution</x:v>
      </x:c>
      <x:c r="C51" s="1337" t="str">
        <x:v>包含</x:v>
      </x:c>
      <x:c r="D51" s="1337" t="str">
        <x:v>ExecutionStepResult</x:v>
      </x:c>
      <x:c r="E51" s="1337" t="str">
        <x:v>1:N</x:v>
      </x:c>
      <x:c r="F51" s="1337" t="str">
        <x:v>StepResult.execution_id</x:v>
      </x:c>
      <x:c r="G51" s="1337" t="str">
        <x:v>执行阶段</x:v>
      </x:c>
      <x:c r="H51" s="1337" t="str">
        <x:v>历史保留</x:v>
      </x:c>
      <x:c r="I51" s="1338" t="str">
        <x:v>精确定位步骤失败</x:v>
      </x:c>
    </x:row>
    <x:row r="52" ht="34" customHeight="1">
      <x:c r="A52" s="1314" t="str">
        <x:v>R49</x:v>
      </x:c>
      <x:c r="B52" s="1315" t="str">
        <x:v>Execution</x:v>
      </x:c>
      <x:c r="C52" s="1315" t="str">
        <x:v>产生</x:v>
      </x:c>
      <x:c r="D52" s="1315" t="str">
        <x:v>CleanupResult</x:v>
      </x:c>
      <x:c r="E52" s="1315" t="str">
        <x:v>1:N</x:v>
      </x:c>
      <x:c r="F52" s="1315" t="str">
        <x:v>CleanupResult.execution_id</x:v>
      </x:c>
      <x:c r="G52" s="1315" t="str">
        <x:v>清理阶段</x:v>
      </x:c>
      <x:c r="H52" s="1315" t="str">
        <x:v>历史保留并告警</x:v>
      </x:c>
      <x:c r="I52" s="1316" t="str">
        <x:v>清理不是普通日志</x:v>
      </x:c>
    </x:row>
    <x:row r="53" ht="34" customHeight="1">
      <x:c r="A53" s="1336" t="str">
        <x:v>R50</x:v>
      </x:c>
      <x:c r="B53" s="1337" t="str">
        <x:v>TestCaseVersion</x:v>
      </x:c>
      <x:c r="C53" s="1337" t="str">
        <x:v>聚合</x:v>
      </x:c>
      <x:c r="D53" s="1337" t="str">
        <x:v>FlakyProfile</x:v>
      </x:c>
      <x:c r="E53" s="1337" t="str">
        <x:v>1:1</x:v>
      </x:c>
      <x:c r="F53" s="1337" t="str">
        <x:v>FlakyProfile.test_case_version_id</x:v>
      </x:c>
      <x:c r="G53" s="1337" t="str">
        <x:v>执行分析</x:v>
      </x:c>
      <x:c r="H53" s="1337" t="str">
        <x:v>持续更新统计</x:v>
      </x:c>
      <x:c r="I53" s="1338" t="str">
        <x:v>不稳定性基于时间窗口</x:v>
      </x:c>
    </x:row>
    <x:row r="54" ht="34" customHeight="1">
      <x:c r="A54" s="1314" t="str">
        <x:v>R51</x:v>
      </x:c>
      <x:c r="B54" s="1315" t="str">
        <x:v>TestCase</x:v>
      </x:c>
      <x:c r="C54" s="1315" t="str">
        <x:v>拥有</x:v>
      </x:c>
      <x:c r="D54" s="1315" t="str">
        <x:v>QuarantineRecord</x:v>
      </x:c>
      <x:c r="E54" s="1315" t="str">
        <x:v>1:N</x:v>
      </x:c>
      <x:c r="F54" s="1315" t="str">
        <x:v>QuarantineRecord.test_case_id</x:v>
      </x:c>
      <x:c r="G54" s="1315" t="str">
        <x:v>质量治理</x:v>
      </x:c>
      <x:c r="H54" s="1315" t="str">
        <x:v>解除记录保留</x:v>
      </x:c>
      <x:c r="I54" s="1316" t="str">
        <x:v>隔离不删除</x:v>
      </x:c>
    </x:row>
    <x:row r="55" ht="34" customHeight="1">
      <x:c r="A55" s="1336" t="str">
        <x:v>R52</x:v>
      </x:c>
      <x:c r="B55" s="1337" t="str">
        <x:v>ConversionAttempt</x:v>
      </x:c>
      <x:c r="C55" s="1337" t="str">
        <x:v>等待</x:v>
      </x:c>
      <x:c r="D55" s="1337" t="str">
        <x:v>ResourceResolutionDecision</x:v>
      </x:c>
      <x:c r="E55" s="1337" t="str">
        <x:v>1:N</x:v>
      </x:c>
      <x:c r="F55" s="1337" t="str">
        <x:v>Decision.conversion_attempt_id</x:v>
      </x:c>
      <x:c r="G55" s="1337" t="str">
        <x:v>资源歧义</x:v>
      </x:c>
      <x:c r="H55" s="1337" t="str">
        <x:v>决策保留</x:v>
      </x:c>
      <x:c r="I55" s="1338" t="str">
        <x:v>人工确认后继续转换</x:v>
      </x:c>
    </x:row>
    <x:row r="56" ht="34" customHeight="1">
      <x:c r="A56" s="1314" t="str">
        <x:v>R53</x:v>
      </x:c>
      <x:c r="B56" s="1315" t="str">
        <x:v>Model/Prompt Version</x:v>
      </x:c>
      <x:c r="C56" s="1315" t="str">
        <x:v>通过</x:v>
      </x:c>
      <x:c r="D56" s="1315" t="str">
        <x:v>AIEvaluationRun</x:v>
      </x:c>
      <x:c r="E56" s="1315" t="str">
        <x:v>N:N</x:v>
      </x:c>
      <x:c r="F56" s="1315" t="str">
        <x:v>EvaluationRun配置</x:v>
      </x:c>
      <x:c r="G56" s="1315" t="str">
        <x:v>AI发布前</x:v>
      </x:c>
      <x:c r="H56" s="1315" t="str">
        <x:v>评估结果保留</x:v>
      </x:c>
      <x:c r="I56" s="1316" t="str">
        <x:v>支持效果回归</x:v>
      </x:c>
    </x:row>
    <x:row r="57" ht="34" customHeight="1">
      <x:c r="A57" s="1336" t="str">
        <x:v>R54</x:v>
      </x:c>
      <x:c r="B57" s="1337" t="str">
        <x:v>MigrationRun</x:v>
      </x:c>
      <x:c r="C57" s="1337" t="str">
        <x:v>产生</x:v>
      </x:c>
      <x:c r="D57" s="1337" t="str">
        <x:v>LegacyMapping</x:v>
      </x:c>
      <x:c r="E57" s="1337" t="str">
        <x:v>1:N</x:v>
      </x:c>
      <x:c r="F57" s="1337" t="str">
        <x:v>LegacyMapping.migration_run_id</x:v>
      </x:c>
      <x:c r="G57" s="1337" t="str">
        <x:v>迁移阶段</x:v>
      </x:c>
      <x:c r="H57" s="1337" t="str">
        <x:v>映射永久保留</x:v>
      </x:c>
      <x:c r="I57" s="1338" t="str">
        <x:v>新旧追踪桥梁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8932e937cd74b6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18" hidden="0" customWidth="1"/>
    <x:col min="5" max="5" width="26" hidden="0" customWidth="1"/>
    <x:col min="6" max="6" width="26" hidden="0" customWidth="1"/>
    <x:col min="7" max="7" width="28" hidden="0" customWidth="1"/>
    <x:col min="8" max="8" width="10" hidden="0" customWidth="1"/>
    <x:col min="9" max="9" width="32" hidden="0" customWidth="1"/>
    <x:col min="10" max="10" width="38" hidden="0" customWidth="1"/>
  </x:cols>
  <x:sheetData>
    <x:row r="1" ht="34" customHeight="1">
      <x:c r="A1" s="1045" t="str">
        <x:v>核心状态机与枚举定义</x:v>
      </x:c>
      <x:c r="B1" s="1046"/>
      <x:c r="C1" s="1046"/>
      <x:c r="D1" s="1046"/>
      <x:c r="E1" s="1046"/>
      <x:c r="F1" s="1046"/>
      <x:c r="G1" s="1046"/>
      <x:c r="H1" s="1046"/>
      <x:c r="I1" s="1046"/>
      <x:c r="J1" s="1047"/>
    </x:row>
    <x:row r="3" ht="34" customHeight="1">
      <x:c r="A3" s="917" t="str">
        <x:v>所属域</x:v>
      </x:c>
      <x:c r="B3" s="918" t="str">
        <x:v>对象</x:v>
      </x:c>
      <x:c r="C3" s="918" t="str">
        <x:v>状态字段</x:v>
      </x:c>
      <x:c r="D3" s="918" t="str">
        <x:v>状态值</x:v>
      </x:c>
      <x:c r="E3" s="918" t="str">
        <x:v>中文含义</x:v>
      </x:c>
      <x:c r="F3" s="918" t="str">
        <x:v>允许进入方式</x:v>
      </x:c>
      <x:c r="G3" s="918" t="str">
        <x:v>允许下一状态</x:v>
      </x:c>
      <x:c r="H3" s="918" t="str">
        <x:v>是否终态</x:v>
      </x:c>
      <x:c r="I3" s="918" t="str">
        <x:v>失败/阻塞处理</x:v>
      </x:c>
      <x:c r="J3" s="919" t="str">
        <x:v>关键约束</x:v>
      </x:c>
    </x:row>
    <x:row r="4" ht="32" customHeight="1">
      <x:c r="A4" s="1028" t="str">
        <x:v>多元输入与自然语言生成域</x:v>
      </x:c>
      <x:c r="B4" s="1029" t="str">
        <x:v>SourceDocument</x:v>
      </x:c>
      <x:c r="C4" s="1029" t="str">
        <x:v>parse_status</x:v>
      </x:c>
      <x:c r="D4" s="1029" t="str">
        <x:v>uploaded</x:v>
      </x:c>
      <x:c r="E4" s="1029" t="str">
        <x:v>已上传待解析</x:v>
      </x:c>
      <x:c r="F4" s="1029" t="str">
        <x:v>上传完成</x:v>
      </x:c>
      <x:c r="G4" s="1029" t="str">
        <x:v>parsing/failed</x:v>
      </x:c>
      <x:c r="H4" s="1029" t="str">
        <x:v>否</x:v>
      </x:c>
      <x:c r="I4" s="1029" t="str">
        <x:v>可重试解析</x:v>
      </x:c>
      <x:c r="J4" s="1030" t="str">
        <x:v>不影响原文件保存</x:v>
      </x:c>
    </x:row>
    <x:row r="5" ht="32" customHeight="1">
      <x:c r="A5" s="1055" t="str">
        <x:v>多元输入与自然语言生成域</x:v>
      </x:c>
      <x:c r="B5" s="1056" t="str">
        <x:v>SourceDocument</x:v>
      </x:c>
      <x:c r="C5" s="1056" t="str">
        <x:v>parse_status</x:v>
      </x:c>
      <x:c r="D5" s="1056" t="str">
        <x:v>parsing</x:v>
      </x:c>
      <x:c r="E5" s="1056" t="str">
        <x:v>解析中</x:v>
      </x:c>
      <x:c r="F5" s="1056" t="str">
        <x:v>Worker领取</x:v>
      </x:c>
      <x:c r="G5" s="1056" t="str">
        <x:v>parsed/failed</x:v>
      </x:c>
      <x:c r="H5" s="1056" t="str">
        <x:v>否</x:v>
      </x:c>
      <x:c r="I5" s="1056" t="str">
        <x:v>记录解析错误</x:v>
      </x:c>
      <x:c r="J5" s="1057" t="str">
        <x:v>同一版本避免重复解析</x:v>
      </x:c>
    </x:row>
    <x:row r="6" ht="32" customHeight="1">
      <x:c r="A6" s="1028" t="str">
        <x:v>多元输入与自然语言生成域</x:v>
      </x:c>
      <x:c r="B6" s="1029" t="str">
        <x:v>SourceDocument</x:v>
      </x:c>
      <x:c r="C6" s="1029" t="str">
        <x:v>parse_status</x:v>
      </x:c>
      <x:c r="D6" s="1029" t="str">
        <x:v>parsed</x:v>
      </x:c>
      <x:c r="E6" s="1029" t="str">
        <x:v>解析成功</x:v>
      </x:c>
      <x:c r="F6" s="1029" t="str">
        <x:v>章节落库完成</x:v>
      </x:c>
      <x:c r="G6" s="1029" t="str"/>
      <x:c r="H6" s="1029" t="str">
        <x:v>是</x:v>
      </x:c>
      <x:c r="I6" s="1029" t="str">
        <x:v>可重新上传形成新版本</x:v>
      </x:c>
      <x:c r="J6" s="1030" t="str">
        <x:v>章节绑定文档版本</x:v>
      </x:c>
    </x:row>
    <x:row r="7" ht="32" customHeight="1">
      <x:c r="A7" s="1055" t="str">
        <x:v>多元输入与自然语言生成域</x:v>
      </x:c>
      <x:c r="B7" s="1056" t="str">
        <x:v>GenerationBatch</x:v>
      </x:c>
      <x:c r="C7" s="1056" t="str">
        <x:v>status</x:v>
      </x:c>
      <x:c r="D7" s="1056" t="str">
        <x:v>queued</x:v>
      </x:c>
      <x:c r="E7" s="1056" t="str">
        <x:v>等待生成</x:v>
      </x:c>
      <x:c r="F7" s="1056" t="str">
        <x:v>提交生成任务</x:v>
      </x:c>
      <x:c r="G7" s="1056" t="str">
        <x:v>running/failed</x:v>
      </x:c>
      <x:c r="H7" s="1056" t="str">
        <x:v>否</x:v>
      </x:c>
      <x:c r="I7" s="1056" t="str">
        <x:v>可取消</x:v>
      </x:c>
      <x:c r="J7" s="1057" t="str">
        <x:v>幂等重试不建新批次</x:v>
      </x:c>
    </x:row>
    <x:row r="8" ht="32" customHeight="1">
      <x:c r="A8" s="1028" t="str">
        <x:v>多元输入与自然语言生成域</x:v>
      </x:c>
      <x:c r="B8" s="1029" t="str">
        <x:v>GenerationBatch</x:v>
      </x:c>
      <x:c r="C8" s="1029" t="str">
        <x:v>status</x:v>
      </x:c>
      <x:c r="D8" s="1029" t="str">
        <x:v>running</x:v>
      </x:c>
      <x:c r="E8" s="1029" t="str">
        <x:v>生成中</x:v>
      </x:c>
      <x:c r="F8" s="1029" t="str">
        <x:v>Worker开始</x:v>
      </x:c>
      <x:c r="G8" s="1029" t="str">
        <x:v>partial/succeeded/failed</x:v>
      </x:c>
      <x:c r="H8" s="1029" t="str">
        <x:v>否</x:v>
      </x:c>
      <x:c r="I8" s="1029" t="str">
        <x:v>记录ModelRun</x:v>
      </x:c>
      <x:c r="J8" s="1030" t="str">
        <x:v>允许部分成功</x:v>
      </x:c>
    </x:row>
    <x:row r="9" ht="32" customHeight="1">
      <x:c r="A9" s="1055" t="str">
        <x:v>多元输入与自然语言生成域</x:v>
      </x:c>
      <x:c r="B9" s="1056" t="str">
        <x:v>GenerationBatch</x:v>
      </x:c>
      <x:c r="C9" s="1056" t="str">
        <x:v>status</x:v>
      </x:c>
      <x:c r="D9" s="1056" t="str">
        <x:v>partial</x:v>
      </x:c>
      <x:c r="E9" s="1056" t="str">
        <x:v>部分成功</x:v>
      </x:c>
      <x:c r="F9" s="1056" t="str">
        <x:v>部分资产入库</x:v>
      </x:c>
      <x:c r="G9" s="1056" t="str">
        <x:v>succeeded/failed</x:v>
      </x:c>
      <x:c r="H9" s="1056" t="str">
        <x:v>否</x:v>
      </x:c>
      <x:c r="I9" s="1056" t="str">
        <x:v>展示失败明细</x:v>
      </x:c>
      <x:c r="J9" s="1057" t="str">
        <x:v>成功项不回滚</x:v>
      </x:c>
    </x:row>
    <x:row r="10" ht="32" customHeight="1">
      <x:c r="A10" s="1028" t="str">
        <x:v>自然语言测试资产域</x:v>
      </x:c>
      <x:c r="B10" s="1029" t="str">
        <x:v>TestAsset</x:v>
      </x:c>
      <x:c r="C10" s="1029" t="str">
        <x:v>review_status</x:v>
      </x:c>
      <x:c r="D10" s="1029" t="str">
        <x:v>pending</x:v>
      </x:c>
      <x:c r="E10" s="1029" t="str">
        <x:v>待内容审核</x:v>
      </x:c>
      <x:c r="F10" s="1029" t="str">
        <x:v>首次入库/新版本</x:v>
      </x:c>
      <x:c r="G10" s="1029" t="str">
        <x:v>approved/rejected</x:v>
      </x:c>
      <x:c r="H10" s="1029" t="str">
        <x:v>否</x:v>
      </x:c>
      <x:c r="I10" s="1029" t="str">
        <x:v>允许编辑</x:v>
      </x:c>
      <x:c r="J10" s="1030" t="str">
        <x:v>审核绑定当前版本</x:v>
      </x:c>
    </x:row>
    <x:row r="11" ht="32" customHeight="1">
      <x:c r="A11" s="1055" t="str">
        <x:v>自然语言测试资产域</x:v>
      </x:c>
      <x:c r="B11" s="1056" t="str">
        <x:v>TestAsset</x:v>
      </x:c>
      <x:c r="C11" s="1056" t="str">
        <x:v>review_status</x:v>
      </x:c>
      <x:c r="D11" s="1056" t="str">
        <x:v>approved</x:v>
      </x:c>
      <x:c r="E11" s="1056" t="str">
        <x:v>内容审核通过</x:v>
      </x:c>
      <x:c r="F11" s="1056" t="str">
        <x:v>审核人确认</x:v>
      </x:c>
      <x:c r="G11" s="1056" t="str">
        <x:v>pending(新版本)</x:v>
      </x:c>
      <x:c r="H11" s="1056" t="str">
        <x:v>否</x:v>
      </x:c>
      <x:c r="I11" s="1056" t="str">
        <x:v>可发起转换</x:v>
      </x:c>
      <x:c r="J11" s="1057" t="str">
        <x:v>不代表可执行</x:v>
      </x:c>
    </x:row>
    <x:row r="12" ht="32" customHeight="1">
      <x:c r="A12" s="1028" t="str">
        <x:v>自然语言测试资产域</x:v>
      </x:c>
      <x:c r="B12" s="1029" t="str">
        <x:v>TestAsset</x:v>
      </x:c>
      <x:c r="C12" s="1029" t="str">
        <x:v>review_status</x:v>
      </x:c>
      <x:c r="D12" s="1029" t="str">
        <x:v>rejected</x:v>
      </x:c>
      <x:c r="E12" s="1029" t="str">
        <x:v>内容不通过</x:v>
      </x:c>
      <x:c r="F12" s="1029" t="str">
        <x:v>审核人拒绝</x:v>
      </x:c>
      <x:c r="G12" s="1029" t="str">
        <x:v>pending</x:v>
      </x:c>
      <x:c r="H12" s="1029" t="str">
        <x:v>否</x:v>
      </x:c>
      <x:c r="I12" s="1029" t="str">
        <x:v>编辑新版本后重审</x:v>
      </x:c>
      <x:c r="J12" s="1030" t="str">
        <x:v>不删除资产</x:v>
      </x:c>
    </x:row>
    <x:row r="13" ht="32" customHeight="1">
      <x:c r="A13" s="1055" t="str">
        <x:v>自然语言测试资产域</x:v>
      </x:c>
      <x:c r="B13" s="1056" t="str">
        <x:v>TestAsset</x:v>
      </x:c>
      <x:c r="C13" s="1056" t="str">
        <x:v>conversion_status</x:v>
      </x:c>
      <x:c r="D13" s="1056" t="str">
        <x:v>not_started</x:v>
      </x:c>
      <x:c r="E13" s="1056" t="str">
        <x:v>未发起转换</x:v>
      </x:c>
      <x:c r="F13" s="1056" t="str">
        <x:v>首次入库</x:v>
      </x:c>
      <x:c r="G13" s="1056" t="str">
        <x:v>processing</x:v>
      </x:c>
      <x:c r="H13" s="1056" t="str">
        <x:v>否</x:v>
      </x:c>
      <x:c r="I13" s="1056" t="str">
        <x:v>无</x:v>
      </x:c>
      <x:c r="J13" s="1057" t="str">
        <x:v>与审核状态分离</x:v>
      </x:c>
    </x:row>
    <x:row r="14" ht="32" customHeight="1">
      <x:c r="A14" s="1028" t="str">
        <x:v>自然语言测试资产域</x:v>
      </x:c>
      <x:c r="B14" s="1029" t="str">
        <x:v>TestAsset</x:v>
      </x:c>
      <x:c r="C14" s="1029" t="str">
        <x:v>conversion_status</x:v>
      </x:c>
      <x:c r="D14" s="1029" t="str">
        <x:v>processing</x:v>
      </x:c>
      <x:c r="E14" s="1029" t="str">
        <x:v>转换处理中</x:v>
      </x:c>
      <x:c r="F14" s="1029" t="str">
        <x:v>创建Attempt</x:v>
      </x:c>
      <x:c r="G14" s="1029" t="str">
        <x:v>blocked/succeeded/not_started</x:v>
      </x:c>
      <x:c r="H14" s="1029" t="str">
        <x:v>否</x:v>
      </x:c>
      <x:c r="I14" s="1029" t="str">
        <x:v>转换任务可重试</x:v>
      </x:c>
      <x:c r="J14" s="1030" t="str">
        <x:v>仅针对具体版本</x:v>
      </x:c>
    </x:row>
    <x:row r="15" ht="32" customHeight="1">
      <x:c r="A15" s="1055" t="str">
        <x:v>自然语言测试资产域</x:v>
      </x:c>
      <x:c r="B15" s="1056" t="str">
        <x:v>TestAsset</x:v>
      </x:c>
      <x:c r="C15" s="1056" t="str">
        <x:v>conversion_status</x:v>
      </x:c>
      <x:c r="D15" s="1056" t="str">
        <x:v>blocked</x:v>
      </x:c>
      <x:c r="E15" s="1056" t="str">
        <x:v>转换被阻塞</x:v>
      </x:c>
      <x:c r="F15" s="1056" t="str">
        <x:v>质量门失败</x:v>
      </x:c>
      <x:c r="G15" s="1056" t="str">
        <x:v>processing/not_started</x:v>
      </x:c>
      <x:c r="H15" s="1056" t="str">
        <x:v>否</x:v>
      </x:c>
      <x:c r="I15" s="1056" t="str">
        <x:v>修复资产或资源后重试</x:v>
      </x:c>
      <x:c r="J15" s="1057" t="str">
        <x:v>资产保留</x:v>
      </x:c>
    </x:row>
    <x:row r="16" ht="32" customHeight="1">
      <x:c r="A16" s="1028" t="str">
        <x:v>自然语言测试资产域</x:v>
      </x:c>
      <x:c r="B16" s="1029" t="str">
        <x:v>TestAsset</x:v>
      </x:c>
      <x:c r="C16" s="1029" t="str">
        <x:v>conversion_status</x:v>
      </x:c>
      <x:c r="D16" s="1029" t="str">
        <x:v>succeeded</x:v>
      </x:c>
      <x:c r="E16" s="1029" t="str">
        <x:v>已生成用例</x:v>
      </x:c>
      <x:c r="F16" s="1029" t="str">
        <x:v>Case创建成功</x:v>
      </x:c>
      <x:c r="G16" s="1029" t="str">
        <x:v>stale/processing</x:v>
      </x:c>
      <x:c r="H16" s="1029" t="str">
        <x:v>否</x:v>
      </x:c>
      <x:c r="I16" s="1029" t="str">
        <x:v>可重新转换新版本</x:v>
      </x:c>
      <x:c r="J16" s="1030" t="str">
        <x:v>可一对多用例</x:v>
      </x:c>
    </x:row>
    <x:row r="17" ht="32" customHeight="1">
      <x:c r="A17" s="1055" t="str">
        <x:v>自然语言测试资产域</x:v>
      </x:c>
      <x:c r="B17" s="1056" t="str">
        <x:v>TestAsset</x:v>
      </x:c>
      <x:c r="C17" s="1056" t="str">
        <x:v>conversion_status</x:v>
      </x:c>
      <x:c r="D17" s="1056" t="str">
        <x:v>stale</x:v>
      </x:c>
      <x:c r="E17" s="1056" t="str">
        <x:v>已生成用例但来源变化</x:v>
      </x:c>
      <x:c r="F17" s="1056" t="str">
        <x:v>资产新版本/资源失效</x:v>
      </x:c>
      <x:c r="G17" s="1056" t="str">
        <x:v>processing</x:v>
      </x:c>
      <x:c r="H17" s="1056" t="str">
        <x:v>否</x:v>
      </x:c>
      <x:c r="I17" s="1056" t="str">
        <x:v>重新转换</x:v>
      </x:c>
      <x:c r="J17" s="1057" t="str">
        <x:v>旧用例可保留</x:v>
      </x:c>
    </x:row>
    <x:row r="18" ht="32" customHeight="1">
      <x:c r="A18" s="1028" t="str">
        <x:v>自然语言测试资产域</x:v>
      </x:c>
      <x:c r="B18" s="1029" t="str">
        <x:v>DuplicateRelation</x:v>
      </x:c>
      <x:c r="C18" s="1029" t="str">
        <x:v>duplicate_status</x:v>
      </x:c>
      <x:c r="D18" s="1029" t="str">
        <x:v>exact</x:v>
      </x:c>
      <x:c r="E18" s="1029" t="str">
        <x:v>精确重复</x:v>
      </x:c>
      <x:c r="F18" s="1029" t="str">
        <x:v>指纹一致</x:v>
      </x:c>
      <x:c r="G18" s="1029" t="str">
        <x:v>merged/dismissed</x:v>
      </x:c>
      <x:c r="H18" s="1029" t="str">
        <x:v>否</x:v>
      </x:c>
      <x:c r="I18" s="1029" t="str">
        <x:v>复用资产或补来源</x:v>
      </x:c>
      <x:c r="J18" s="1030" t="str">
        <x:v>不得新建重复资产取决于策略</x:v>
      </x:c>
    </x:row>
    <x:row r="19" ht="32" customHeight="1">
      <x:c r="A19" s="1055" t="str">
        <x:v>自然语言测试资产域</x:v>
      </x:c>
      <x:c r="B19" s="1056" t="str">
        <x:v>DuplicateRelation</x:v>
      </x:c>
      <x:c r="C19" s="1056" t="str">
        <x:v>duplicate_status</x:v>
      </x:c>
      <x:c r="D19" s="1056" t="str">
        <x:v>suspected</x:v>
      </x:c>
      <x:c r="E19" s="1056" t="str">
        <x:v>疑似重复</x:v>
      </x:c>
      <x:c r="F19" s="1056" t="str">
        <x:v>语义相似</x:v>
      </x:c>
      <x:c r="G19" s="1056" t="str">
        <x:v>merged/dismissed</x:v>
      </x:c>
      <x:c r="H19" s="1056" t="str">
        <x:v>否</x:v>
      </x:c>
      <x:c r="I19" s="1056" t="str">
        <x:v>人工处理</x:v>
      </x:c>
      <x:c r="J19" s="1057" t="str">
        <x:v>仍正常入库</x:v>
      </x:c>
    </x:row>
    <x:row r="20" ht="32" customHeight="1">
      <x:c r="A20" s="1028" t="str">
        <x:v>Asset-to-Case 转换与统一拦截域</x:v>
      </x:c>
      <x:c r="B20" s="1029" t="str">
        <x:v>ConversionAttempt</x:v>
      </x:c>
      <x:c r="C20" s="1029" t="str">
        <x:v>status</x:v>
      </x:c>
      <x:c r="D20" s="1029" t="str">
        <x:v>queued</x:v>
      </x:c>
      <x:c r="E20" s="1029" t="str">
        <x:v>等待转换</x:v>
      </x:c>
      <x:c r="F20" s="1029" t="str">
        <x:v>发起转换</x:v>
      </x:c>
      <x:c r="G20" s="1029" t="str">
        <x:v>analyzing/failed</x:v>
      </x:c>
      <x:c r="H20" s="1029" t="str">
        <x:v>否</x:v>
      </x:c>
      <x:c r="I20" s="1029" t="str">
        <x:v>可取消</x:v>
      </x:c>
      <x:c r="J20" s="1030" t="str">
        <x:v>绑定不可变资产版本</x:v>
      </x:c>
    </x:row>
    <x:row r="21" ht="32" customHeight="1">
      <x:c r="A21" s="1055" t="str">
        <x:v>Asset-to-Case 转换与统一拦截域</x:v>
      </x:c>
      <x:c r="B21" s="1056" t="str">
        <x:v>ConversionAttempt</x:v>
      </x:c>
      <x:c r="C21" s="1056" t="str">
        <x:v>status</x:v>
      </x:c>
      <x:c r="D21" s="1056" t="str">
        <x:v>analyzing</x:v>
      </x:c>
      <x:c r="E21" s="1056" t="str">
        <x:v>场景与需求分析</x:v>
      </x:c>
      <x:c r="F21" s="1056" t="str">
        <x:v>Worker开始</x:v>
      </x:c>
      <x:c r="G21" s="1056" t="str">
        <x:v>resolving/blocked/failed</x:v>
      </x:c>
      <x:c r="H21" s="1056" t="str">
        <x:v>否</x:v>
      </x:c>
      <x:c r="I21" s="1056" t="str">
        <x:v>记录Manifest错误</x:v>
      </x:c>
      <x:c r="J21" s="1057" t="str">
        <x:v>不得创建TestCase</x:v>
      </x:c>
    </x:row>
    <x:row r="22" ht="32" customHeight="1">
      <x:c r="A22" s="1028" t="str">
        <x:v>Asset-to-Case 转换与统一拦截域</x:v>
      </x:c>
      <x:c r="B22" s="1029" t="str">
        <x:v>ConversionAttempt</x:v>
      </x:c>
      <x:c r="C22" s="1029" t="str">
        <x:v>status</x:v>
      </x:c>
      <x:c r="D22" s="1029" t="str">
        <x:v>resolving</x:v>
      </x:c>
      <x:c r="E22" s="1029" t="str">
        <x:v>资源解析中</x:v>
      </x:c>
      <x:c r="F22" s="1029" t="str">
        <x:v>Manifest通过</x:v>
      </x:c>
      <x:c r="G22" s="1029" t="str">
        <x:v>validating/blocked/failed</x:v>
      </x:c>
      <x:c r="H22" s="1029" t="str">
        <x:v>否</x:v>
      </x:c>
      <x:c r="I22" s="1029" t="str">
        <x:v>返回资源候选/缺失</x:v>
      </x:c>
      <x:c r="J22" s="1030" t="str">
        <x:v>统一走资源网关</x:v>
      </x:c>
    </x:row>
    <x:row r="23" ht="32" customHeight="1">
      <x:c r="A23" s="1055" t="str">
        <x:v>Asset-to-Case 转换与统一拦截域</x:v>
      </x:c>
      <x:c r="B23" s="1056" t="str">
        <x:v>ConversionAttempt</x:v>
      </x:c>
      <x:c r="C23" s="1056" t="str">
        <x:v>status</x:v>
      </x:c>
      <x:c r="D23" s="1056" t="str">
        <x:v>validating</x:v>
      </x:c>
      <x:c r="E23" s="1056" t="str">
        <x:v>质量门校验中</x:v>
      </x:c>
      <x:c r="F23" s="1056" t="str">
        <x:v>BoundPlan完成</x:v>
      </x:c>
      <x:c r="G23" s="1056" t="str">
        <x:v>compiling/blocked/failed</x:v>
      </x:c>
      <x:c r="H23" s="1056" t="str">
        <x:v>否</x:v>
      </x:c>
      <x:c r="I23" s="1056" t="str">
        <x:v>写结构化错误</x:v>
      </x:c>
      <x:c r="J23" s="1057" t="str">
        <x:v>所有执行拦截集中</x:v>
      </x:c>
    </x:row>
    <x:row r="24" ht="32" customHeight="1">
      <x:c r="A24" s="1028" t="str">
        <x:v>Asset-to-Case 转换与统一拦截域</x:v>
      </x:c>
      <x:c r="B24" s="1029" t="str">
        <x:v>ConversionAttempt</x:v>
      </x:c>
      <x:c r="C24" s="1029" t="str">
        <x:v>status</x:v>
      </x:c>
      <x:c r="D24" s="1029" t="str">
        <x:v>compiling</x:v>
      </x:c>
      <x:c r="E24" s="1029" t="str">
        <x:v>编译中</x:v>
      </x:c>
      <x:c r="F24" s="1029" t="str">
        <x:v>质量门通过</x:v>
      </x:c>
      <x:c r="G24" s="1029" t="str">
        <x:v>succeeded/failed</x:v>
      </x:c>
      <x:c r="H24" s="1029" t="str">
        <x:v>否</x:v>
      </x:c>
      <x:c r="I24" s="1029" t="str">
        <x:v>编译失败不写Case</x:v>
      </x:c>
      <x:c r="J24" s="1030" t="str">
        <x:v>记录编译器版本</x:v>
      </x:c>
    </x:row>
    <x:row r="25" ht="32" customHeight="1">
      <x:c r="A25" s="1055" t="str">
        <x:v>Asset-to-Case 转换与统一拦截域</x:v>
      </x:c>
      <x:c r="B25" s="1056" t="str">
        <x:v>ConversionAttempt</x:v>
      </x:c>
      <x:c r="C25" s="1056" t="str">
        <x:v>status</x:v>
      </x:c>
      <x:c r="D25" s="1056" t="str">
        <x:v>blocked</x:v>
      </x:c>
      <x:c r="E25" s="1056" t="str">
        <x:v>可修复阻塞</x:v>
      </x:c>
      <x:c r="F25" s="1056" t="str">
        <x:v>质量门/资源问题</x:v>
      </x:c>
      <x:c r="G25" s="1056" t="str"/>
      <x:c r="H25" s="1056" t="str">
        <x:v>是</x:v>
      </x:c>
      <x:c r="I25" s="1056" t="str">
        <x:v>用户修复后新建Attempt</x:v>
      </x:c>
      <x:c r="J25" s="1057" t="str">
        <x:v>不影响资产和旧Attempt</x:v>
      </x:c>
    </x:row>
    <x:row r="26" ht="32" customHeight="1">
      <x:c r="A26" s="1028" t="str">
        <x:v>Asset-to-Case 转换与统一拦截域</x:v>
      </x:c>
      <x:c r="B26" s="1029" t="str">
        <x:v>ConversionAttempt</x:v>
      </x:c>
      <x:c r="C26" s="1029" t="str">
        <x:v>status</x:v>
      </x:c>
      <x:c r="D26" s="1029" t="str">
        <x:v>succeeded</x:v>
      </x:c>
      <x:c r="E26" s="1029" t="str">
        <x:v>转换成功</x:v>
      </x:c>
      <x:c r="F26" s="1029" t="str">
        <x:v>TestCase事务提交</x:v>
      </x:c>
      <x:c r="G26" s="1029" t="str"/>
      <x:c r="H26" s="1029" t="str">
        <x:v>是</x:v>
      </x:c>
      <x:c r="I26" s="1029" t="str">
        <x:v>关联generated_case_ids</x:v>
      </x:c>
      <x:c r="J26" s="1030" t="str">
        <x:v>只有此状态创建Case</x:v>
      </x:c>
    </x:row>
    <x:row r="27" ht="32" customHeight="1">
      <x:c r="A27" s="1055" t="str">
        <x:v>公共资源与能力域</x:v>
      </x:c>
      <x:c r="B27" s="1056" t="str">
        <x:v>ResourceDescriptor</x:v>
      </x:c>
      <x:c r="C27" s="1056" t="str">
        <x:v>status</x:v>
      </x:c>
      <x:c r="D27" s="1056" t="str">
        <x:v>active</x:v>
      </x:c>
      <x:c r="E27" s="1056" t="str">
        <x:v>资源可绑定</x:v>
      </x:c>
      <x:c r="F27" s="1056" t="str">
        <x:v>发布并健康</x:v>
      </x:c>
      <x:c r="G27" s="1056" t="str">
        <x:v>deprecated/disabled</x:v>
      </x:c>
      <x:c r="H27" s="1056" t="str">
        <x:v>否</x:v>
      </x:c>
      <x:c r="I27" s="1056" t="str">
        <x:v>正常使用</x:v>
      </x:c>
      <x:c r="J27" s="1057" t="str">
        <x:v>必须有版本</x:v>
      </x:c>
    </x:row>
    <x:row r="28" ht="32" customHeight="1">
      <x:c r="A28" s="1028" t="str">
        <x:v>公共资源与能力域</x:v>
      </x:c>
      <x:c r="B28" s="1029" t="str">
        <x:v>ResourceDescriptor</x:v>
      </x:c>
      <x:c r="C28" s="1029" t="str">
        <x:v>status</x:v>
      </x:c>
      <x:c r="D28" s="1029" t="str">
        <x:v>deprecated</x:v>
      </x:c>
      <x:c r="E28" s="1029" t="str">
        <x:v>不推荐新绑定</x:v>
      </x:c>
      <x:c r="F28" s="1029" t="str">
        <x:v>新版本发布</x:v>
      </x:c>
      <x:c r="G28" s="1029" t="str">
        <x:v>disabled</x:v>
      </x:c>
      <x:c r="H28" s="1029" t="str">
        <x:v>否</x:v>
      </x:c>
      <x:c r="I28" s="1029" t="str">
        <x:v>旧用例仍可执行或标stale</x:v>
      </x:c>
      <x:c r="J28" s="1030" t="str">
        <x:v>策略决定</x:v>
      </x:c>
    </x:row>
    <x:row r="29" ht="32" customHeight="1">
      <x:c r="A29" s="1055" t="str">
        <x:v>公共资源与能力域</x:v>
      </x:c>
      <x:c r="B29" s="1056" t="str">
        <x:v>ResourceDescriptor</x:v>
      </x:c>
      <x:c r="C29" s="1056" t="str">
        <x:v>status</x:v>
      </x:c>
      <x:c r="D29" s="1056" t="str">
        <x:v>disabled</x:v>
      </x:c>
      <x:c r="E29" s="1056" t="str">
        <x:v>资源禁用</x:v>
      </x:c>
      <x:c r="F29" s="1056" t="str">
        <x:v>人工/健康检查</x:v>
      </x:c>
      <x:c r="G29" s="1056" t="str">
        <x:v>active</x:v>
      </x:c>
      <x:c r="H29" s="1056" t="str">
        <x:v>否</x:v>
      </x:c>
      <x:c r="I29" s="1056" t="str">
        <x:v>阻止新转换/执行</x:v>
      </x:c>
      <x:c r="J29" s="1057" t="str">
        <x:v>不删除历史快照</x:v>
      </x:c>
    </x:row>
    <x:row r="30" ht="32" customHeight="1">
      <x:c r="A30" s="1028" t="str">
        <x:v>测试用例、执行、证据与反馈域</x:v>
      </x:c>
      <x:c r="B30" s="1029" t="str">
        <x:v>TestCase</x:v>
      </x:c>
      <x:c r="C30" s="1029" t="str">
        <x:v>case_status</x:v>
      </x:c>
      <x:c r="D30" s="1029" t="str">
        <x:v>ready</x:v>
      </x:c>
      <x:c r="E30" s="1029" t="str">
        <x:v>可执行</x:v>
      </x:c>
      <x:c r="F30" s="1029" t="str">
        <x:v>转换成功</x:v>
      </x:c>
      <x:c r="G30" s="1029" t="str">
        <x:v>stale/disabled</x:v>
      </x:c>
      <x:c r="H30" s="1029" t="str">
        <x:v>否</x:v>
      </x:c>
      <x:c r="I30" s="1029" t="str">
        <x:v>可调度</x:v>
      </x:c>
      <x:c r="J30" s="1030" t="str">
        <x:v>必须有有效脚本和资源快照</x:v>
      </x:c>
    </x:row>
    <x:row r="31" ht="32" customHeight="1">
      <x:c r="A31" s="1055" t="str">
        <x:v>测试用例、执行、证据与反馈域</x:v>
      </x:c>
      <x:c r="B31" s="1056" t="str">
        <x:v>TestCase</x:v>
      </x:c>
      <x:c r="C31" s="1056" t="str">
        <x:v>case_status</x:v>
      </x:c>
      <x:c r="D31" s="1056" t="str">
        <x:v>stale</x:v>
      </x:c>
      <x:c r="E31" s="1056" t="str">
        <x:v>依赖已变化</x:v>
      </x:c>
      <x:c r="F31" s="1056" t="str">
        <x:v>资产/资源失效事件</x:v>
      </x:c>
      <x:c r="G31" s="1056" t="str">
        <x:v>ready/disabled</x:v>
      </x:c>
      <x:c r="H31" s="1056" t="str">
        <x:v>否</x:v>
      </x:c>
      <x:c r="I31" s="1056" t="str">
        <x:v>需重新转换</x:v>
      </x:c>
      <x:c r="J31" s="1057" t="str">
        <x:v>不得静默执行</x:v>
      </x:c>
    </x:row>
    <x:row r="32" ht="32" customHeight="1">
      <x:c r="A32" s="1028" t="str">
        <x:v>测试用例、执行、证据与反馈域</x:v>
      </x:c>
      <x:c r="B32" s="1029" t="str">
        <x:v>TestCase</x:v>
      </x:c>
      <x:c r="C32" s="1029" t="str">
        <x:v>case_status</x:v>
      </x:c>
      <x:c r="D32" s="1029" t="str">
        <x:v>disabled</x:v>
      </x:c>
      <x:c r="E32" s="1029" t="str">
        <x:v>已停用</x:v>
      </x:c>
      <x:c r="F32" s="1029" t="str">
        <x:v>人工/治理策略</x:v>
      </x:c>
      <x:c r="G32" s="1029" t="str">
        <x:v>ready</x:v>
      </x:c>
      <x:c r="H32" s="1029" t="str">
        <x:v>否</x:v>
      </x:c>
      <x:c r="I32" s="1029" t="str">
        <x:v>禁止调度</x:v>
      </x:c>
      <x:c r="J32" s="1030" t="str">
        <x:v>保留历史</x:v>
      </x:c>
    </x:row>
    <x:row r="33" ht="32" customHeight="1">
      <x:c r="A33" s="1055" t="str">
        <x:v>测试用例、执行、证据与反馈域</x:v>
      </x:c>
      <x:c r="B33" s="1056" t="str">
        <x:v>Execution</x:v>
      </x:c>
      <x:c r="C33" s="1056" t="str">
        <x:v>status</x:v>
      </x:c>
      <x:c r="D33" s="1056" t="str">
        <x:v>queued</x:v>
      </x:c>
      <x:c r="E33" s="1056" t="str">
        <x:v>等待执行</x:v>
      </x:c>
      <x:c r="F33" s="1056" t="str">
        <x:v>任务分解</x:v>
      </x:c>
      <x:c r="G33" s="1056" t="str">
        <x:v>running/cancelled</x:v>
      </x:c>
      <x:c r="H33" s="1056" t="str">
        <x:v>否</x:v>
      </x:c>
      <x:c r="I33" s="1056" t="str">
        <x:v>可取消</x:v>
      </x:c>
      <x:c r="J33" s="1057" t="str">
        <x:v>尚未占用环境</x:v>
      </x:c>
    </x:row>
    <x:row r="34" ht="32" customHeight="1">
      <x:c r="A34" s="1028" t="str">
        <x:v>测试用例、执行、证据与反馈域</x:v>
      </x:c>
      <x:c r="B34" s="1029" t="str">
        <x:v>Execution</x:v>
      </x:c>
      <x:c r="C34" s="1029" t="str">
        <x:v>status</x:v>
      </x:c>
      <x:c r="D34" s="1029" t="str">
        <x:v>running</x:v>
      </x:c>
      <x:c r="E34" s="1029" t="str">
        <x:v>执行中</x:v>
      </x:c>
      <x:c r="F34" s="1029" t="str">
        <x:v>获取锁并启动Runner</x:v>
      </x:c>
      <x:c r="G34" s="1029" t="str">
        <x:v>passed/failed/blocked/cancelled/timeout</x:v>
      </x:c>
      <x:c r="H34" s="1029" t="str">
        <x:v>否</x:v>
      </x:c>
      <x:c r="I34" s="1029" t="str">
        <x:v>心跳/超时/强制清理</x:v>
      </x:c>
      <x:c r="J34" s="1030" t="str">
        <x:v>必须有execution_id</x:v>
      </x:c>
    </x:row>
    <x:row r="35" ht="32" customHeight="1">
      <x:c r="A35" s="1055" t="str">
        <x:v>测试用例、执行、证据与反馈域</x:v>
      </x:c>
      <x:c r="B35" s="1056" t="str">
        <x:v>Execution</x:v>
      </x:c>
      <x:c r="C35" s="1056" t="str">
        <x:v>status</x:v>
      </x:c>
      <x:c r="D35" s="1056" t="str">
        <x:v>passed</x:v>
      </x:c>
      <x:c r="E35" s="1056" t="str">
        <x:v>执行通过</x:v>
      </x:c>
      <x:c r="F35" s="1056" t="str">
        <x:v>所有必要断言通过</x:v>
      </x:c>
      <x:c r="G35" s="1056" t="str"/>
      <x:c r="H35" s="1056" t="str">
        <x:v>是</x:v>
      </x:c>
      <x:c r="I35" s="1056" t="str">
        <x:v>生成报告</x:v>
      </x:c>
      <x:c r="J35" s="1057" t="str">
        <x:v>不等于报告生成成功</x:v>
      </x:c>
    </x:row>
    <x:row r="36" ht="32" customHeight="1">
      <x:c r="A36" s="1028" t="str">
        <x:v>测试用例、执行、证据与反馈域</x:v>
      </x:c>
      <x:c r="B36" s="1029" t="str">
        <x:v>Execution</x:v>
      </x:c>
      <x:c r="C36" s="1029" t="str">
        <x:v>status</x:v>
      </x:c>
      <x:c r="D36" s="1029" t="str">
        <x:v>failed</x:v>
      </x:c>
      <x:c r="E36" s="1029" t="str">
        <x:v>执行失败</x:v>
      </x:c>
      <x:c r="F36" s="1029" t="str">
        <x:v>动作/断言失败</x:v>
      </x:c>
      <x:c r="G36" s="1029" t="str"/>
      <x:c r="H36" s="1029" t="str">
        <x:v>是</x:v>
      </x:c>
      <x:c r="I36" s="1029" t="str">
        <x:v>失败分析/缺陷</x:v>
      </x:c>
      <x:c r="J36" s="1030" t="str">
        <x:v>必须保留证据</x:v>
      </x:c>
    </x:row>
    <x:row r="37" ht="32" customHeight="1">
      <x:c r="A37" s="1055" t="str">
        <x:v>测试用例、执行、证据与反馈域</x:v>
      </x:c>
      <x:c r="B37" s="1056" t="str">
        <x:v>Execution</x:v>
      </x:c>
      <x:c r="C37" s="1056" t="str">
        <x:v>status</x:v>
      </x:c>
      <x:c r="D37" s="1056" t="str">
        <x:v>blocked</x:v>
      </x:c>
      <x:c r="E37" s="1056" t="str">
        <x:v>执行前置条件不满足</x:v>
      </x:c>
      <x:c r="F37" s="1056" t="str">
        <x:v>锁/环境/资源问题</x:v>
      </x:c>
      <x:c r="G37" s="1056" t="str"/>
      <x:c r="H37" s="1056" t="str">
        <x:v>是</x:v>
      </x:c>
      <x:c r="I37" s="1056" t="str">
        <x:v>资源修复后重跑</x:v>
      </x:c>
      <x:c r="J37" s="1057" t="str">
        <x:v>区别于产品失败</x:v>
      </x:c>
    </x:row>
    <x:row r="38" ht="32" customHeight="1">
      <x:c r="A38" s="1028" t="str">
        <x:v>测试用例、执行、证据与反馈域</x:v>
      </x:c>
      <x:c r="B38" s="1029" t="str">
        <x:v>Execution</x:v>
      </x:c>
      <x:c r="C38" s="1029" t="str">
        <x:v>status</x:v>
      </x:c>
      <x:c r="D38" s="1029" t="str">
        <x:v>timeout</x:v>
      </x:c>
      <x:c r="E38" s="1029" t="str">
        <x:v>执行超时</x:v>
      </x:c>
      <x:c r="F38" s="1029" t="str">
        <x:v>超时策略触发</x:v>
      </x:c>
      <x:c r="G38" s="1029" t="str"/>
      <x:c r="H38" s="1029" t="str">
        <x:v>是</x:v>
      </x:c>
      <x:c r="I38" s="1029" t="str">
        <x:v>强制清理并告警</x:v>
      </x:c>
      <x:c r="J38" s="1030" t="str">
        <x:v>清理结果单独记录</x:v>
      </x:c>
    </x:row>
    <x:row r="39" ht="32" customHeight="1">
      <x:c r="A39" s="1055" t="str">
        <x:v>平台控制面</x:v>
      </x:c>
      <x:c r="B39" s="1056" t="str">
        <x:v>AsyncJob</x:v>
      </x:c>
      <x:c r="C39" s="1056" t="str">
        <x:v>status</x:v>
      </x:c>
      <x:c r="D39" s="1056" t="str">
        <x:v>dead_letter</x:v>
      </x:c>
      <x:c r="E39" s="1056" t="str">
        <x:v>重试耗尽进入死信</x:v>
      </x:c>
      <x:c r="F39" s="1056" t="str">
        <x:v>超过重试上限</x:v>
      </x:c>
      <x:c r="G39" s="1056" t="str">
        <x:v>queued(人工重放)</x:v>
      </x:c>
      <x:c r="H39" s="1056" t="str">
        <x:v>否</x:v>
      </x:c>
      <x:c r="I39" s="1056" t="str">
        <x:v>人工检查和重放</x:v>
      </x:c>
      <x:c r="J39" s="1057" t="str">
        <x:v>业务幂等必须保证</x:v>
      </x:c>
    </x:row>
    <x:row r="40" ht="32" customHeight="1">
      <x:c r="A40" s="1314" t="str">
        <x:v>多元输入与自然语言生成域</x:v>
      </x:c>
      <x:c r="B40" s="1315" t="str">
        <x:v>RequirementVersion</x:v>
      </x:c>
      <x:c r="C40" s="1315" t="str">
        <x:v>status</x:v>
      </x:c>
      <x:c r="D40" s="1315" t="str">
        <x:v>draft</x:v>
      </x:c>
      <x:c r="E40" s="1315" t="str">
        <x:v>需求版本草稿</x:v>
      </x:c>
      <x:c r="F40" s="1315" t="str">
        <x:v>创建/编辑</x:v>
      </x:c>
      <x:c r="G40" s="1315" t="str">
        <x:v>effective/removed</x:v>
      </x:c>
      <x:c r="H40" s="1315" t="str">
        <x:v>否</x:v>
      </x:c>
      <x:c r="I40" s="1315" t="str">
        <x:v>可继续编辑</x:v>
      </x:c>
      <x:c r="J40" s="1316" t="str">
        <x:v>GenerationContext不得绑定草稿</x:v>
      </x:c>
    </x:row>
    <x:row r="41" ht="32" customHeight="1">
      <x:c r="A41" s="1347" t="str">
        <x:v>多元输入与自然语言生成域</x:v>
      </x:c>
      <x:c r="B41" s="1348" t="str">
        <x:v>RequirementVersion</x:v>
      </x:c>
      <x:c r="C41" s="1348" t="str">
        <x:v>status</x:v>
      </x:c>
      <x:c r="D41" s="1348" t="str">
        <x:v>effective</x:v>
      </x:c>
      <x:c r="E41" s="1348" t="str">
        <x:v>当前生效需求版本</x:v>
      </x:c>
      <x:c r="F41" s="1348" t="str">
        <x:v>发布版本</x:v>
      </x:c>
      <x:c r="G41" s="1348" t="str">
        <x:v>superseded</x:v>
      </x:c>
      <x:c r="H41" s="1348" t="str">
        <x:v>否</x:v>
      </x:c>
      <x:c r="I41" s="1348" t="str">
        <x:v>可生成资产</x:v>
      </x:c>
      <x:c r="J41" s="1349" t="str">
        <x:v>历史不可覆盖</x:v>
      </x:c>
    </x:row>
    <x:row r="42" ht="32" customHeight="1">
      <x:c r="A42" s="1314" t="str">
        <x:v>多元输入与自然语言生成域</x:v>
      </x:c>
      <x:c r="B42" s="1315" t="str">
        <x:v>RequirementVersion</x:v>
      </x:c>
      <x:c r="C42" s="1315" t="str">
        <x:v>status</x:v>
      </x:c>
      <x:c r="D42" s="1315" t="str">
        <x:v>superseded</x:v>
      </x:c>
      <x:c r="E42" s="1315" t="str">
        <x:v>已被新版本替代</x:v>
      </x:c>
      <x:c r="F42" s="1315" t="str">
        <x:v>新版本生效</x:v>
      </x:c>
      <x:c r="G42" s="1315" t="str"/>
      <x:c r="H42" s="1315" t="str">
        <x:v>是</x:v>
      </x:c>
      <x:c r="I42" s="1315" t="str">
        <x:v>保留追踪</x:v>
      </x:c>
      <x:c r="J42" s="1316" t="str">
        <x:v>旧资产仍绑定旧版本</x:v>
      </x:c>
    </x:row>
    <x:row r="43" ht="32" customHeight="1">
      <x:c r="A43" s="1347" t="str">
        <x:v>自然语言测试资产域</x:v>
      </x:c>
      <x:c r="B43" s="1348" t="str">
        <x:v>CoverageRelation</x:v>
      </x:c>
      <x:c r="C43" s="1348" t="str">
        <x:v>coverage_status</x:v>
      </x:c>
      <x:c r="D43" s="1348" t="str">
        <x:v>uncovered</x:v>
      </x:c>
      <x:c r="E43" s="1348" t="str">
        <x:v>未覆盖</x:v>
      </x:c>
      <x:c r="F43" s="1348" t="str">
        <x:v>需求对象创建</x:v>
      </x:c>
      <x:c r="G43" s="1348" t="str">
        <x:v>partially_covered/covered/not_applicable</x:v>
      </x:c>
      <x:c r="H43" s="1348" t="str">
        <x:v>否</x:v>
      </x:c>
      <x:c r="I43" s="1348" t="str">
        <x:v>生成或关联资产</x:v>
      </x:c>
      <x:c r="J43" s="1349" t="str">
        <x:v>需区分资产覆盖和用例覆盖</x:v>
      </x:c>
    </x:row>
    <x:row r="44" ht="32" customHeight="1">
      <x:c r="A44" s="1314" t="str">
        <x:v>自然语言测试资产域</x:v>
      </x:c>
      <x:c r="B44" s="1315" t="str">
        <x:v>CoverageRelation</x:v>
      </x:c>
      <x:c r="C44" s="1315" t="str">
        <x:v>coverage_status</x:v>
      </x:c>
      <x:c r="D44" s="1315" t="str">
        <x:v>partially_covered</x:v>
      </x:c>
      <x:c r="E44" s="1315" t="str">
        <x:v>部分覆盖</x:v>
      </x:c>
      <x:c r="F44" s="1315" t="str">
        <x:v>部分场景有资产/用例</x:v>
      </x:c>
      <x:c r="G44" s="1315" t="str">
        <x:v>covered/uncovered</x:v>
      </x:c>
      <x:c r="H44" s="1315" t="str">
        <x:v>否</x:v>
      </x:c>
      <x:c r="I44" s="1315" t="str">
        <x:v>补充测试</x:v>
      </x:c>
      <x:c r="J44" s="1316" t="str">
        <x:v>可记录覆盖类型</x:v>
      </x:c>
    </x:row>
    <x:row r="45" ht="32" customHeight="1">
      <x:c r="A45" s="1347" t="str">
        <x:v>自然语言测试资产域</x:v>
      </x:c>
      <x:c r="B45" s="1348" t="str">
        <x:v>CoverageRelation</x:v>
      </x:c>
      <x:c r="C45" s="1348" t="str">
        <x:v>coverage_status</x:v>
      </x:c>
      <x:c r="D45" s="1348" t="str">
        <x:v>covered</x:v>
      </x:c>
      <x:c r="E45" s="1348" t="str">
        <x:v>已覆盖</x:v>
      </x:c>
      <x:c r="F45" s="1348" t="str">
        <x:v>覆盖规则满足</x:v>
      </x:c>
      <x:c r="G45" s="1348" t="str">
        <x:v>partially_covered</x:v>
      </x:c>
      <x:c r="H45" s="1348" t="str">
        <x:v>否</x:v>
      </x:c>
      <x:c r="I45" s="1348" t="str">
        <x:v>需求变化后可重算</x:v>
      </x:c>
      <x:c r="J45" s="1349" t="str">
        <x:v>不代表已执行</x:v>
      </x:c>
    </x:row>
    <x:row r="46" ht="32" customHeight="1">
      <x:c r="A46" s="1314" t="str">
        <x:v>自然语言测试资产域</x:v>
      </x:c>
      <x:c r="B46" s="1315" t="str">
        <x:v>TestAsset</x:v>
      </x:c>
      <x:c r="C46" s="1315" t="str">
        <x:v>automation_eligibility</x:v>
      </x:c>
      <x:c r="D46" s="1315" t="str">
        <x:v>manual_only</x:v>
      </x:c>
      <x:c r="E46" s="1315" t="str">
        <x:v>仅适合手工测试</x:v>
      </x:c>
      <x:c r="F46" s="1315" t="str">
        <x:v>人工/评估确认</x:v>
      </x:c>
      <x:c r="G46" s="1315" t="str">
        <x:v>eligible/blocked</x:v>
      </x:c>
      <x:c r="H46" s="1315" t="str">
        <x:v>否</x:v>
      </x:c>
      <x:c r="I46" s="1315" t="str">
        <x:v>进入手工计划</x:v>
      </x:c>
      <x:c r="J46" s="1316" t="str">
        <x:v>不得强制自动转换</x:v>
      </x:c>
    </x:row>
    <x:row r="47" ht="32" customHeight="1">
      <x:c r="A47" s="1347" t="str">
        <x:v>自然语言测试资产域</x:v>
      </x:c>
      <x:c r="B47" s="1348" t="str">
        <x:v>TestAsset</x:v>
      </x:c>
      <x:c r="C47" s="1348" t="str">
        <x:v>automation_eligibility</x:v>
      </x:c>
      <x:c r="D47" s="1348" t="str">
        <x:v>eligible</x:v>
      </x:c>
      <x:c r="E47" s="1348" t="str">
        <x:v>适合自动化</x:v>
      </x:c>
      <x:c r="F47" s="1348" t="str">
        <x:v>评估/人工确认</x:v>
      </x:c>
      <x:c r="G47" s="1348" t="str">
        <x:v>partially_eligible/blocked</x:v>
      </x:c>
      <x:c r="H47" s="1348" t="str">
        <x:v>否</x:v>
      </x:c>
      <x:c r="I47" s="1348" t="str">
        <x:v>可发起转换</x:v>
      </x:c>
      <x:c r="J47" s="1349" t="str">
        <x:v>仍需内容审核</x:v>
      </x:c>
    </x:row>
    <x:row r="48" ht="32" customHeight="1">
      <x:c r="A48" s="1314" t="str">
        <x:v>Asset-to-Case 转换与统一拦截域</x:v>
      </x:c>
      <x:c r="B48" s="1315" t="str">
        <x:v>ConversionAttempt</x:v>
      </x:c>
      <x:c r="C48" s="1315" t="str">
        <x:v>status</x:v>
      </x:c>
      <x:c r="D48" s="1315" t="str">
        <x:v>waiting_for_resolution</x:v>
      </x:c>
      <x:c r="E48" s="1315" t="str">
        <x:v>等待人工资源确认</x:v>
      </x:c>
      <x:c r="F48" s="1315" t="str">
        <x:v>资源多候选</x:v>
      </x:c>
      <x:c r="G48" s="1315" t="str">
        <x:v>resolving/blocked/cancelled</x:v>
      </x:c>
      <x:c r="H48" s="1315" t="str">
        <x:v>否</x:v>
      </x:c>
      <x:c r="I48" s="1315" t="str">
        <x:v>用户选择候选资源</x:v>
      </x:c>
      <x:c r="J48" s="1316" t="str">
        <x:v>不得超时无限等待</x:v>
      </x:c>
    </x:row>
    <x:row r="49" ht="32" customHeight="1">
      <x:c r="A49" s="1347" t="str">
        <x:v>公共资源与能力域</x:v>
      </x:c>
      <x:c r="B49" s="1348" t="str">
        <x:v>DataReservation</x:v>
      </x:c>
      <x:c r="C49" s="1348" t="str">
        <x:v>status</x:v>
      </x:c>
      <x:c r="D49" s="1348" t="str">
        <x:v>reserved</x:v>
      </x:c>
      <x:c r="E49" s="1348" t="str">
        <x:v>数据已预留</x:v>
      </x:c>
      <x:c r="F49" s="1348" t="str">
        <x:v>执行准备成功</x:v>
      </x:c>
      <x:c r="G49" s="1348" t="str">
        <x:v>in_use/released/expired/failed</x:v>
      </x:c>
      <x:c r="H49" s="1348" t="str">
        <x:v>否</x:v>
      </x:c>
      <x:c r="I49" s="1348" t="str">
        <x:v>等待Runner使用</x:v>
      </x:c>
      <x:c r="J49" s="1349" t="str">
        <x:v>需要TTL</x:v>
      </x:c>
    </x:row>
    <x:row r="50" ht="32" customHeight="1">
      <x:c r="A50" s="1314" t="str">
        <x:v>公共资源与能力域</x:v>
      </x:c>
      <x:c r="B50" s="1315" t="str">
        <x:v>DataReservation</x:v>
      </x:c>
      <x:c r="C50" s="1315" t="str">
        <x:v>status</x:v>
      </x:c>
      <x:c r="D50" s="1315" t="str">
        <x:v>in_use</x:v>
      </x:c>
      <x:c r="E50" s="1315" t="str">
        <x:v>数据使用中</x:v>
      </x:c>
      <x:c r="F50" s="1315" t="str">
        <x:v>Runner开始</x:v>
      </x:c>
      <x:c r="G50" s="1315" t="str">
        <x:v>released/expired/failed</x:v>
      </x:c>
      <x:c r="H50" s="1315" t="str">
        <x:v>否</x:v>
      </x:c>
      <x:c r="I50" s="1315" t="str">
        <x:v>执行结束释放</x:v>
      </x:c>
      <x:c r="J50" s="1316" t="str">
        <x:v>并发独占规则生效</x:v>
      </x:c>
    </x:row>
    <x:row r="51" ht="32" customHeight="1">
      <x:c r="A51" s="1347" t="str">
        <x:v>公共资源与能力域</x:v>
      </x:c>
      <x:c r="B51" s="1348" t="str">
        <x:v>EnvironmentReservation</x:v>
      </x:c>
      <x:c r="C51" s="1348" t="str">
        <x:v>status</x:v>
      </x:c>
      <x:c r="D51" s="1348" t="str">
        <x:v>reserved</x:v>
      </x:c>
      <x:c r="E51" s="1348" t="str">
        <x:v>环境容量/时段已预留</x:v>
      </x:c>
      <x:c r="F51" s="1348" t="str">
        <x:v>调度成功</x:v>
      </x:c>
      <x:c r="G51" s="1348" t="str">
        <x:v>active/released/expired</x:v>
      </x:c>
      <x:c r="H51" s="1348" t="str">
        <x:v>否</x:v>
      </x:c>
      <x:c r="I51" s="1348" t="str">
        <x:v>等待执行</x:v>
      </x:c>
      <x:c r="J51" s="1349" t="str">
        <x:v>维护窗口内不可预留</x:v>
      </x:c>
    </x:row>
    <x:row r="52" ht="32" customHeight="1">
      <x:c r="A52" s="1314" t="str">
        <x:v>测试用例、执行、证据与反馈域</x:v>
      </x:c>
      <x:c r="B52" s="1315" t="str">
        <x:v>TestPlan</x:v>
      </x:c>
      <x:c r="C52" s="1315" t="str">
        <x:v>status</x:v>
      </x:c>
      <x:c r="D52" s="1315" t="str">
        <x:v>draft</x:v>
      </x:c>
      <x:c r="E52" s="1315" t="str">
        <x:v>测试计划草稿</x:v>
      </x:c>
      <x:c r="F52" s="1315" t="str">
        <x:v>创建计划</x:v>
      </x:c>
      <x:c r="G52" s="1315" t="str">
        <x:v>ready/cancelled</x:v>
      </x:c>
      <x:c r="H52" s="1315" t="str">
        <x:v>否</x:v>
      </x:c>
      <x:c r="I52" s="1315" t="str">
        <x:v>完善范围和环境</x:v>
      </x:c>
      <x:c r="J52" s="1316" t="str">
        <x:v>不可执行</x:v>
      </x:c>
    </x:row>
    <x:row r="53" ht="32" customHeight="1">
      <x:c r="A53" s="1347" t="str">
        <x:v>测试用例、执行、证据与反馈域</x:v>
      </x:c>
      <x:c r="B53" s="1348" t="str">
        <x:v>TestPlan</x:v>
      </x:c>
      <x:c r="C53" s="1348" t="str">
        <x:v>status</x:v>
      </x:c>
      <x:c r="D53" s="1348" t="str">
        <x:v>ready</x:v>
      </x:c>
      <x:c r="E53" s="1348" t="str">
        <x:v>测试计划可执行</x:v>
      </x:c>
      <x:c r="F53" s="1348" t="str">
        <x:v>评审完成</x:v>
      </x:c>
      <x:c r="G53" s="1348" t="str">
        <x:v>running/cancelled</x:v>
      </x:c>
      <x:c r="H53" s="1348" t="str">
        <x:v>否</x:v>
      </x:c>
      <x:c r="I53" s="1348" t="str">
        <x:v>可创建PlanExecution</x:v>
      </x:c>
      <x:c r="J53" s="1349" t="str">
        <x:v>必须绑定Build/Environment</x:v>
      </x:c>
    </x:row>
    <x:row r="54" ht="32" customHeight="1">
      <x:c r="A54" s="1314" t="str">
        <x:v>测试用例、执行、证据与反馈域</x:v>
      </x:c>
      <x:c r="B54" s="1315" t="str">
        <x:v>TestPlan</x:v>
      </x:c>
      <x:c r="C54" s="1315" t="str">
        <x:v>status</x:v>
      </x:c>
      <x:c r="D54" s="1315" t="str">
        <x:v>running</x:v>
      </x:c>
      <x:c r="E54" s="1315" t="str">
        <x:v>计划执行中</x:v>
      </x:c>
      <x:c r="F54" s="1315" t="str">
        <x:v>发起执行</x:v>
      </x:c>
      <x:c r="G54" s="1315" t="str">
        <x:v>completed/blocked/cancelled</x:v>
      </x:c>
      <x:c r="H54" s="1315" t="str">
        <x:v>否</x:v>
      </x:c>
      <x:c r="I54" s="1315" t="str">
        <x:v>聚合Execution结果</x:v>
      </x:c>
      <x:c r="J54" s="1316" t="str">
        <x:v>可多次PlanExecution</x:v>
      </x:c>
    </x:row>
    <x:row r="55" ht="32" customHeight="1">
      <x:c r="A55" s="1347" t="str">
        <x:v>测试用例、执行、证据与反馈域</x:v>
      </x:c>
      <x:c r="B55" s="1348" t="str">
        <x:v>Execution</x:v>
      </x:c>
      <x:c r="C55" s="1348" t="str">
        <x:v>status</x:v>
      </x:c>
      <x:c r="D55" s="1348" t="str">
        <x:v>passed_after_retry</x:v>
      </x:c>
      <x:c r="E55" s="1348" t="str">
        <x:v>重试后通过</x:v>
      </x:c>
      <x:c r="F55" s="1348" t="str">
        <x:v>重试最终成功</x:v>
      </x:c>
      <x:c r="G55" s="1348" t="str"/>
      <x:c r="H55" s="1348" t="str">
        <x:v>是</x:v>
      </x:c>
      <x:c r="I55" s="1348" t="str">
        <x:v>计入Flaky分析</x:v>
      </x:c>
      <x:c r="J55" s="1349" t="str">
        <x:v>不得计为普通passed</x:v>
      </x:c>
    </x:row>
    <x:row r="56" ht="32" customHeight="1">
      <x:c r="A56" s="1314" t="str">
        <x:v>测试用例、执行、证据与反馈域</x:v>
      </x:c>
      <x:c r="B56" s="1315" t="str">
        <x:v>FlakyProfile</x:v>
      </x:c>
      <x:c r="C56" s="1315" t="str">
        <x:v>flaky_status</x:v>
      </x:c>
      <x:c r="D56" s="1315" t="str">
        <x:v>suspected</x:v>
      </x:c>
      <x:c r="E56" s="1315" t="str">
        <x:v>疑似不稳定</x:v>
      </x:c>
      <x:c r="F56" s="1315" t="str">
        <x:v>波动达到初始阈值</x:v>
      </x:c>
      <x:c r="G56" s="1315" t="str">
        <x:v>stable/flaky/quarantined</x:v>
      </x:c>
      <x:c r="H56" s="1315" t="str">
        <x:v>否</x:v>
      </x:c>
      <x:c r="I56" s="1315" t="str">
        <x:v>继续观察</x:v>
      </x:c>
      <x:c r="J56" s="1316" t="str">
        <x:v>阈值按时间窗口</x:v>
      </x:c>
    </x:row>
    <x:row r="57" ht="32" customHeight="1">
      <x:c r="A57" s="1347" t="str">
        <x:v>测试用例、执行、证据与反馈域</x:v>
      </x:c>
      <x:c r="B57" s="1348" t="str">
        <x:v>FlakyProfile</x:v>
      </x:c>
      <x:c r="C57" s="1348" t="str">
        <x:v>flaky_status</x:v>
      </x:c>
      <x:c r="D57" s="1348" t="str">
        <x:v>flaky</x:v>
      </x:c>
      <x:c r="E57" s="1348" t="str">
        <x:v>确认不稳定</x:v>
      </x:c>
      <x:c r="F57" s="1348" t="str">
        <x:v>统计规则命中</x:v>
      </x:c>
      <x:c r="G57" s="1348" t="str">
        <x:v>stable/quarantined</x:v>
      </x:c>
      <x:c r="H57" s="1348" t="str">
        <x:v>否</x:v>
      </x:c>
      <x:c r="I57" s="1348" t="str">
        <x:v>可隔离和修复</x:v>
      </x:c>
      <x:c r="J57" s="1349" t="str">
        <x:v>报告单独展示</x:v>
      </x:c>
    </x:row>
    <x:row r="58" ht="32" customHeight="1">
      <x:c r="A58" s="1314" t="str">
        <x:v>测试用例、执行、证据与反馈域</x:v>
      </x:c>
      <x:c r="B58" s="1315" t="str">
        <x:v>QuarantineRecord</x:v>
      </x:c>
      <x:c r="C58" s="1315" t="str">
        <x:v>status</x:v>
      </x:c>
      <x:c r="D58" s="1315" t="str">
        <x:v>active</x:v>
      </x:c>
      <x:c r="E58" s="1315" t="str">
        <x:v>用例隔离中</x:v>
      </x:c>
      <x:c r="F58" s="1315" t="str">
        <x:v>人工/策略隔离</x:v>
      </x:c>
      <x:c r="G58" s="1315" t="str">
        <x:v>released/expired</x:v>
      </x:c>
      <x:c r="H58" s="1315" t="str">
        <x:v>否</x:v>
      </x:c>
      <x:c r="I58" s="1315" t="str">
        <x:v>不进入默认回归</x:v>
      </x:c>
      <x:c r="J58" s="1316" t="str">
        <x:v>仍可显式执行</x:v>
      </x:c>
    </x:row>
    <x:row r="59" ht="32" customHeight="1">
      <x:c r="A59" s="1347" t="str">
        <x:v>技术基础设施域</x:v>
      </x:c>
      <x:c r="B59" s="1348" t="str">
        <x:v>MigrationRun</x:v>
      </x:c>
      <x:c r="C59" s="1348" t="str">
        <x:v>status</x:v>
      </x:c>
      <x:c r="D59" s="1348" t="str">
        <x:v>mapped</x:v>
      </x:c>
      <x:c r="E59" s="1348" t="str">
        <x:v>映射设计完成</x:v>
      </x:c>
      <x:c r="F59" s="1348" t="str">
        <x:v>表字段映射评审</x:v>
      </x:c>
      <x:c r="G59" s="1348" t="str">
        <x:v>migrated/failed</x:v>
      </x:c>
      <x:c r="H59" s="1348" t="str">
        <x:v>否</x:v>
      </x:c>
      <x:c r="I59" s="1348" t="str">
        <x:v>执行迁移</x:v>
      </x:c>
      <x:c r="J59" s="1349" t="str">
        <x:v>必须有回滚方案</x:v>
      </x:c>
    </x:row>
    <x:row r="60" ht="32" customHeight="1">
      <x:c r="A60" s="1314" t="str">
        <x:v>技术基础设施域</x:v>
      </x:c>
      <x:c r="B60" s="1315" t="str">
        <x:v>MigrationRun</x:v>
      </x:c>
      <x:c r="C60" s="1315" t="str">
        <x:v>status</x:v>
      </x:c>
      <x:c r="D60" s="1315" t="str">
        <x:v>migrated</x:v>
      </x:c>
      <x:c r="E60" s="1315" t="str">
        <x:v>数据迁移完成待验证</x:v>
      </x:c>
      <x:c r="F60" s="1315" t="str">
        <x:v>迁移任务完成</x:v>
      </x:c>
      <x:c r="G60" s="1315" t="str">
        <x:v>verified/failed</x:v>
      </x:c>
      <x:c r="H60" s="1315" t="str">
        <x:v>否</x:v>
      </x:c>
      <x:c r="I60" s="1315" t="str">
        <x:v>执行数量/关系/抽样验证</x:v>
      </x:c>
      <x:c r="J60" s="1316" t="str">
        <x:v>不可立即切流</x:v>
      </x:c>
    </x:row>
    <x:row r="61" ht="32" customHeight="1">
      <x:c r="A61" s="1347" t="str">
        <x:v>技术基础设施域</x:v>
      </x:c>
      <x:c r="B61" s="1348" t="str">
        <x:v>MigrationRun</x:v>
      </x:c>
      <x:c r="C61" s="1348" t="str">
        <x:v>status</x:v>
      </x:c>
      <x:c r="D61" s="1348" t="str">
        <x:v>verified</x:v>
      </x:c>
      <x:c r="E61" s="1348" t="str">
        <x:v>迁移验证通过</x:v>
      </x:c>
      <x:c r="F61" s="1348" t="str">
        <x:v>校验完成</x:v>
      </x:c>
      <x:c r="G61" s="1348" t="str">
        <x:v>cut_over/rolled_back</x:v>
      </x:c>
      <x:c r="H61" s="1348" t="str">
        <x:v>否</x:v>
      </x:c>
      <x:c r="I61" s="1348" t="str">
        <x:v>可切换V2</x:v>
      </x:c>
      <x:c r="J61" s="1349" t="str">
        <x:v>需冻结窗口</x:v>
      </x:c>
    </x:row>
    <x:row r="62" ht="32" customHeight="1">
      <x:c r="A62" s="1314" t="str">
        <x:v>技术基础设施域</x:v>
      </x:c>
      <x:c r="B62" s="1315" t="str">
        <x:v>MigrationRun</x:v>
      </x:c>
      <x:c r="C62" s="1315" t="str">
        <x:v>status</x:v>
      </x:c>
      <x:c r="D62" s="1315" t="str">
        <x:v>cut_over</x:v>
      </x:c>
      <x:c r="E62" s="1315" t="str">
        <x:v>已切换到V2</x:v>
      </x:c>
      <x:c r="F62" s="1315" t="str">
        <x:v>Feature Flag切换</x:v>
      </x:c>
      <x:c r="G62" s="1315" t="str">
        <x:v>deprecated/rolled_back</x:v>
      </x:c>
      <x:c r="H62" s="1315" t="str">
        <x:v>否</x:v>
      </x:c>
      <x:c r="I62" s="1315" t="str">
        <x:v>观察稳定期</x:v>
      </x:c>
      <x:c r="J62" s="1316" t="str">
        <x:v>旧链只读</x:v>
      </x:c>
    </x:row>
    <x:row r="63" ht="32" customHeight="1">
      <x:c r="A63" s="1347" t="str">
        <x:v>技术基础设施域</x:v>
      </x:c>
      <x:c r="B63" s="1348" t="str">
        <x:v>MigrationRun</x:v>
      </x:c>
      <x:c r="C63" s="1348" t="str">
        <x:v>status</x:v>
      </x:c>
      <x:c r="D63" s="1348" t="str">
        <x:v>deprecated</x:v>
      </x:c>
      <x:c r="E63" s="1348" t="str">
        <x:v>旧链已停用</x:v>
      </x:c>
      <x:c r="F63" s="1348" t="str">
        <x:v>观察期通过</x:v>
      </x:c>
      <x:c r="G63" s="1348" t="str">
        <x:v>removed</x:v>
      </x:c>
      <x:c r="H63" s="1348" t="str">
        <x:v>否</x:v>
      </x:c>
      <x:c r="I63" s="1348" t="str">
        <x:v>准备删除代码/表</x:v>
      </x:c>
      <x:c r="J63" s="1349" t="str">
        <x:v>需满足删除条件</x:v>
      </x:c>
    </x:row>
    <x:row r="64" ht="32" customHeight="1">
      <x:c r="A64" s="1314" t="str">
        <x:v>技术基础设施域</x:v>
      </x:c>
      <x:c r="B64" s="1315" t="str">
        <x:v>MigrationRun</x:v>
      </x:c>
      <x:c r="C64" s="1315" t="str">
        <x:v>status</x:v>
      </x:c>
      <x:c r="D64" s="1315" t="str">
        <x:v>removed</x:v>
      </x:c>
      <x:c r="E64" s="1315" t="str">
        <x:v>旧链已移除</x:v>
      </x:c>
      <x:c r="F64" s="1315" t="str">
        <x:v>清理完成</x:v>
      </x:c>
      <x:c r="G64" s="1315" t="str"/>
      <x:c r="H64" s="1315" t="str">
        <x:v>是</x:v>
      </x:c>
      <x:c r="I64" s="1315" t="str">
        <x:v>保留迁移审计</x:v>
      </x:c>
      <x:c r="J64" s="1316" t="str">
        <x:v>不可丢历史映射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649269b1b2d476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48" hidden="0" customWidth="1"/>
    <x:col min="4" max="4" width="40" hidden="0" customWidth="1"/>
    <x:col min="5" max="5" width="28" hidden="0" customWidth="1"/>
    <x:col min="6" max="6" width="40" hidden="0" customWidth="1"/>
    <x:col min="7" max="7" width="32" hidden="0" customWidth="1"/>
    <x:col min="8" max="8" width="38" hidden="0" customWidth="1"/>
  </x:cols>
  <x:sheetData>
    <x:row r="1" ht="34" customHeight="1">
      <x:c r="A1" s="1063" t="str">
        <x:v>核心 ID 从需求输入到执行报告的传递链</x:v>
      </x:c>
      <x:c r="B1" s="1064"/>
      <x:c r="C1" s="1064"/>
      <x:c r="D1" s="1064"/>
      <x:c r="E1" s="1064"/>
      <x:c r="F1" s="1064"/>
      <x:c r="G1" s="1064"/>
      <x:c r="H1" s="1065"/>
    </x:row>
    <x:row r="3" ht="34" customHeight="1">
      <x:c r="A3" s="876" t="str">
        <x:v>链路阶段</x:v>
      </x:c>
      <x:c r="B3" s="877" t="str">
        <x:v>输入对象</x:v>
      </x:c>
      <x:c r="C3" s="877" t="str">
        <x:v>必须携带的核心ID</x:v>
      </x:c>
      <x:c r="D3" s="877" t="str">
        <x:v>新生成ID</x:v>
      </x:c>
      <x:c r="E3" s="877" t="str">
        <x:v>输出对象</x:v>
      </x:c>
      <x:c r="F3" s="877" t="str">
        <x:v>字段继承规则</x:v>
      </x:c>
      <x:c r="G3" s="877" t="str">
        <x:v>失败时保留内容</x:v>
      </x:c>
      <x:c r="H3" s="878" t="str">
        <x:v>禁止行为</x:v>
      </x:c>
    </x:row>
    <x:row r="4" ht="48" customHeight="1">
      <x:c r="A4" s="1073" t="str">
        <x:v>1. 输入接收</x:v>
      </x:c>
      <x:c r="B4" s="1074" t="str">
        <x:v>Web/API/CI请求</x:v>
      </x:c>
      <x:c r="C4" s="1074" t="str">
        <x:v>project_id、trace_id、request_id</x:v>
      </x:c>
      <x:c r="D4" s="1074" t="str">
        <x:v>source_id</x:v>
      </x:c>
      <x:c r="E4" s="1074" t="str">
        <x:v>SourceRecord</x:v>
      </x:c>
      <x:c r="F4" s="1074" t="str">
        <x:v>project/trace/request原样传递</x:v>
      </x:c>
      <x:c r="G4" s="1074" t="str">
        <x:v>原始请求摘要、错误</x:v>
      </x:c>
      <x:c r="H4" s="1075" t="str">
        <x:v>入口直接生成DSL或TestCase</x:v>
      </x:c>
    </x:row>
    <x:row r="5" ht="48" customHeight="1">
      <x:c r="A5" s="1038" t="str">
        <x:v>2. 需求/文档登记</x:v>
      </x:c>
      <x:c r="B5" s="1039" t="str">
        <x:v>SourceRecord</x:v>
      </x:c>
      <x:c r="C5" s="1039" t="str">
        <x:v>project_id、source_id</x:v>
      </x:c>
      <x:c r="D5" s="1039" t="str">
        <x:v>requirement_id、document_id、document_version_id</x:v>
      </x:c>
      <x:c r="E5" s="1039" t="str">
        <x:v>Requirement/DocumentVersion</x:v>
      </x:c>
      <x:c r="F5" s="1039" t="str">
        <x:v>外部ID映射为external key</x:v>
      </x:c>
      <x:c r="G5" s="1039" t="str">
        <x:v>原文件和来源记录</x:v>
      </x:c>
      <x:c r="H5" s="1040" t="str">
        <x:v>使用文件名作为主键</x:v>
      </x:c>
    </x:row>
    <x:row r="6" ht="48" customHeight="1">
      <x:c r="A6" s="1055" t="str">
        <x:v>3. 文档解析</x:v>
      </x:c>
      <x:c r="B6" s="1056" t="str">
        <x:v>DocumentVersion</x:v>
      </x:c>
      <x:c r="C6" s="1056" t="str">
        <x:v>document_id、document_version_id</x:v>
      </x:c>
      <x:c r="D6" s="1056" t="str">
        <x:v>section_id</x:v>
      </x:c>
      <x:c r="E6" s="1056" t="str">
        <x:v>DocumentSection</x:v>
      </x:c>
      <x:c r="F6" s="1056" t="str">
        <x:v>章节绑定明确文档版本</x:v>
      </x:c>
      <x:c r="G6" s="1056" t="str">
        <x:v>解析错误和原文</x:v>
      </x:c>
      <x:c r="H6" s="1057" t="str">
        <x:v>覆盖旧章节版本</x:v>
      </x:c>
    </x:row>
    <x:row r="7" ht="48" customHeight="1">
      <x:c r="A7" s="1083" t="str">
        <x:v>4. 创建生成上下文</x:v>
      </x:c>
      <x:c r="B7" s="1084" t="str">
        <x:v>Requirement/Section/Page选择</x:v>
      </x:c>
      <x:c r="C7" s="1084" t="str">
        <x:v>project_id、requirement_id、document_version_id、section_ids、page_ids</x:v>
      </x:c>
      <x:c r="D7" s="1084" t="str">
        <x:v>generation_context_id</x:v>
      </x:c>
      <x:c r="E7" s="1084" t="str">
        <x:v>GenerationContext</x:v>
      </x:c>
      <x:c r="F7" s="1084" t="str">
        <x:v>选择范围形成不可变快照</x:v>
      </x:c>
      <x:c r="G7" s="1084" t="str">
        <x:v>用户选择和校验错误</x:v>
      </x:c>
      <x:c r="H7" s="1085" t="str">
        <x:v>使用默认项目/页面</x:v>
      </x:c>
    </x:row>
    <x:row r="8" ht="48" customHeight="1">
      <x:c r="A8" s="1093" t="str">
        <x:v>5. 提交生成</x:v>
      </x:c>
      <x:c r="B8" s="1094" t="str">
        <x:v>GenerationContext</x:v>
      </x:c>
      <x:c r="C8" s="1094" t="str">
        <x:v>generation_context_id、trace_id、request_id</x:v>
      </x:c>
      <x:c r="D8" s="1094" t="str">
        <x:v>generation_batch_id、model_run_id</x:v>
      </x:c>
      <x:c r="E8" s="1094" t="str">
        <x:v>GenerationBatch/ModelRun</x:v>
      </x:c>
      <x:c r="F8" s="1094" t="str">
        <x:v>批次继承所有上下文关系</x:v>
      </x:c>
      <x:c r="G8" s="1094" t="str">
        <x:v>批次状态和模型错误</x:v>
      </x:c>
      <x:c r="H8" s="1095" t="str">
        <x:v>等待用户选择候选后才分配ID</x:v>
      </x:c>
    </x:row>
    <x:row r="9" ht="48" customHeight="1">
      <x:c r="A9" s="1104" t="str">
        <x:v>6. AI自然语言输出</x:v>
      </x:c>
      <x:c r="B9" s="1105" t="str">
        <x:v>ModelRun</x:v>
      </x:c>
      <x:c r="C9" s="1105" t="str">
        <x:v>generation_batch_id、model_run_id</x:v>
      </x:c>
      <x:c r="D9" s="1105" t="str">
        <x:v>generated_item_key</x:v>
      </x:c>
      <x:c r="E9" s="1105" t="str">
        <x:v>NaturalLanguageTestPointDTO</x:v>
      </x:c>
      <x:c r="F9" s="1105" t="str">
        <x:v>业务字段+上下文引用进入入库</x:v>
      </x:c>
      <x:c r="G9" s="1105" t="str">
        <x:v>原始响应和Schema warning</x:v>
      </x:c>
      <x:c r="H9" s="1106" t="str">
        <x:v>生成action/target/script_code</x:v>
      </x:c>
    </x:row>
    <x:row r="10" ht="48" customHeight="1">
      <x:c r="A10" s="1115" t="str">
        <x:v>7. 统一资产入库</x:v>
      </x:c>
      <x:c r="B10" s="1116" t="str">
        <x:v>NaturalLanguageTestPointDTO</x:v>
      </x:c>
      <x:c r="C10" s="1116" t="str">
        <x:v>project_id、requirement_id、document_id、section_ids、page_ids、generation_batch_id、generated_item_key</x:v>
      </x:c>
      <x:c r="D10" s="1116" t="str">
        <x:v>intent_id、test_asset_id、asset_version_id、asset_source_id</x:v>
      </x:c>
      <x:c r="E10" s="1116" t="str">
        <x:v>TestAsset/AssetVersion/TestAssetSource</x:v>
      </x:c>
      <x:c r="F10" s="1116" t="str">
        <x:v>所有来源关系从GenerationContext继承</x:v>
      </x:c>
      <x:c r="G10" s="1116" t="str">
        <x:v>所有自然语言内容</x:v>
      </x:c>
      <x:c r="H10" s="1117" t="str">
        <x:v>执行质量门阻止入库</x:v>
      </x:c>
    </x:row>
    <x:row r="11" ht="48" customHeight="1">
      <x:c r="A11" s="1073" t="str">
        <x:v>8. 去重与智能评估</x:v>
      </x:c>
      <x:c r="B11" s="1074" t="str">
        <x:v>TestAssetVersion</x:v>
      </x:c>
      <x:c r="C11" s="1074" t="str">
        <x:v>test_asset_id、asset_version_id、project_id</x:v>
      </x:c>
      <x:c r="D11" s="1074" t="str">
        <x:v>duplicate_relation_id、prescreen_result_id</x:v>
      </x:c>
      <x:c r="E11" s="1074" t="str">
        <x:v>DuplicateRelation/PrescreenResult</x:v>
      </x:c>
      <x:c r="F11" s="1074" t="str">
        <x:v>不改变资产主内容</x:v>
      </x:c>
      <x:c r="G11" s="1074" t="str">
        <x:v>评估失败信息</x:v>
      </x:c>
      <x:c r="H11" s="1075" t="str">
        <x:v>疑似重复自动删除</x:v>
      </x:c>
    </x:row>
    <x:row r="12" ht="48" customHeight="1">
      <x:c r="A12" s="1038" t="str">
        <x:v>9. 内容审核</x:v>
      </x:c>
      <x:c r="B12" s="1039" t="str">
        <x:v>AssetVersion</x:v>
      </x:c>
      <x:c r="C12" s="1039" t="str">
        <x:v>test_asset_id、asset_version_id、user_id</x:v>
      </x:c>
      <x:c r="D12" s="1039" t="str">
        <x:v>review_record_id</x:v>
      </x:c>
      <x:c r="E12" s="1039" t="str">
        <x:v>ReviewRecord</x:v>
      </x:c>
      <x:c r="F12" s="1039" t="str">
        <x:v>审核绑定具体版本</x:v>
      </x:c>
      <x:c r="G12" s="1039" t="str">
        <x:v>资产和历史版本</x:v>
      </x:c>
      <x:c r="H12" s="1040" t="str">
        <x:v>审核通过即直接生成脚本</x:v>
      </x:c>
    </x:row>
    <x:row r="13" ht="48" customHeight="1">
      <x:c r="A13" s="1055" t="str">
        <x:v>10. 发起转换</x:v>
      </x:c>
      <x:c r="B13" s="1056" t="str">
        <x:v>Approved AssetVersion</x:v>
      </x:c>
      <x:c r="C13" s="1056" t="str">
        <x:v>test_asset_id、asset_version_id、project_id、environment_id</x:v>
      </x:c>
      <x:c r="D13" s="1056" t="str">
        <x:v>conversion_attempt_id</x:v>
      </x:c>
      <x:c r="E13" s="1056" t="str">
        <x:v>ConversionAttempt</x:v>
      </x:c>
      <x:c r="F13" s="1056" t="str">
        <x:v>锁定资产版本</x:v>
      </x:c>
      <x:c r="G13" s="1056" t="str">
        <x:v>Attempt和错误</x:v>
      </x:c>
      <x:c r="H13" s="1057" t="str">
        <x:v>使用current_version漂移</x:v>
      </x:c>
    </x:row>
    <x:row r="14" ht="48" customHeight="1">
      <x:c r="A14" s="1083" t="str">
        <x:v>11. 需求分析</x:v>
      </x:c>
      <x:c r="B14" s="1084" t="str">
        <x:v>ConversionAttempt</x:v>
      </x:c>
      <x:c r="C14" s="1084" t="str">
        <x:v>conversion_attempt_id、asset_version_id</x:v>
      </x:c>
      <x:c r="D14" s="1084" t="str">
        <x:v>manifest_id</x:v>
      </x:c>
      <x:c r="E14" s="1084" t="str">
        <x:v>Manifest</x:v>
      </x:c>
      <x:c r="F14" s="1084" t="str">
        <x:v>只抽取资源需求和场景</x:v>
      </x:c>
      <x:c r="G14" s="1084" t="str">
        <x:v>分析错误</x:v>
      </x:c>
      <x:c r="H14" s="1085" t="str">
        <x:v>绑定真实密码/locator</x:v>
      </x:c>
    </x:row>
    <x:row r="15" ht="48" customHeight="1">
      <x:c r="A15" s="1093" t="str">
        <x:v>12. 资源编排</x:v>
      </x:c>
      <x:c r="B15" s="1094" t="str">
        <x:v>Manifest</x:v>
      </x:c>
      <x:c r="C15" s="1094" t="str">
        <x:v>manifest_id、conversion_attempt_id、project_id、environment_id</x:v>
      </x:c>
      <x:c r="D15" s="1094" t="str">
        <x:v>resource_request_id、resource_binding_ids</x:v>
      </x:c>
      <x:c r="E15" s="1094" t="str">
        <x:v>ResourceBindings</x:v>
      </x:c>
      <x:c r="F15" s="1094" t="str">
        <x:v>所有资源返回id+version+约束</x:v>
      </x:c>
      <x:c r="G15" s="1094" t="str">
        <x:v>缺失/冲突候选</x:v>
      </x:c>
      <x:c r="H15" s="1095" t="str">
        <x:v>转换域直查资源表</x:v>
      </x:c>
    </x:row>
    <x:row r="16" ht="48" customHeight="1">
      <x:c r="A16" s="1104" t="str">
        <x:v>13. 计划组装</x:v>
      </x:c>
      <x:c r="B16" s="1105" t="str">
        <x:v>Manifest+Bindings</x:v>
      </x:c>
      <x:c r="C16" s="1105" t="str">
        <x:v>conversion_attempt_id、resource_binding_ids</x:v>
      </x:c>
      <x:c r="D16" s="1105" t="str">
        <x:v>bound_plan_id、plan_variant_ids</x:v>
      </x:c>
      <x:c r="E16" s="1105" t="str">
        <x:v>BoundExecutionPlan</x:v>
      </x:c>
      <x:c r="F16" s="1105" t="str">
        <x:v>生成setup/steps/assertions/cleanup</x:v>
      </x:c>
      <x:c r="G16" s="1105" t="str">
        <x:v>组装错误</x:v>
      </x:c>
      <x:c r="H16" s="1106" t="str">
        <x:v>将计划当最终script_code</x:v>
      </x:c>
    </x:row>
    <x:row r="17" ht="48" customHeight="1">
      <x:c r="A17" s="1115" t="str">
        <x:v>14. 质量门与编译</x:v>
      </x:c>
      <x:c r="B17" s="1116" t="str">
        <x:v>BoundPlan</x:v>
      </x:c>
      <x:c r="C17" s="1116" t="str">
        <x:v>bound_plan_id、attempt_id</x:v>
      </x:c>
      <x:c r="D17" s="1116" t="str">
        <x:v>conversion_error_id或test_case_id/test_case_version_id/resource_snapshot_id</x:v>
      </x:c>
      <x:c r="E17" s="1116" t="str">
        <x:v>TestCaseVersion</x:v>
      </x:c>
      <x:c r="F17" s="1116" t="str">
        <x:v>仅通过后落库</x:v>
      </x:c>
      <x:c r="G17" s="1116" t="str">
        <x:v>结构化错误和Attempt</x:v>
      </x:c>
      <x:c r="H17" s="1117" t="str">
        <x:v>失败时创建无效TestCase</x:v>
      </x:c>
    </x:row>
    <x:row r="18" ht="48" customHeight="1">
      <x:c r="A18" s="1073" t="str">
        <x:v>15. 调度执行</x:v>
      </x:c>
      <x:c r="B18" s="1074" t="str">
        <x:v>TestCaseVersion</x:v>
      </x:c>
      <x:c r="C18" s="1074" t="str">
        <x:v>test_case_id、test_case_version_id、environment_id</x:v>
      </x:c>
      <x:c r="D18" s="1074" t="str">
        <x:v>execution_job_id、execution_id</x:v>
      </x:c>
      <x:c r="E18" s="1074" t="str">
        <x:v>Execution</x:v>
      </x:c>
      <x:c r="F18" s="1074" t="str">
        <x:v>Runner只读取script_code和资源快照</x:v>
      </x:c>
      <x:c r="G18" s="1074" t="str">
        <x:v>执行记录、证据</x:v>
      </x:c>
      <x:c r="H18" s="1075" t="str">
        <x:v>运行时回读自然语言重新转换</x:v>
      </x:c>
    </x:row>
    <x:row r="19" ht="48" customHeight="1">
      <x:c r="A19" s="1038" t="str">
        <x:v>16. 证据报告反馈</x:v>
      </x:c>
      <x:c r="B19" s="1039" t="str">
        <x:v>Execution</x:v>
      </x:c>
      <x:c r="C19" s="1039" t="str">
        <x:v>execution_id、job_id、case_version_id</x:v>
      </x:c>
      <x:c r="D19" s="1039" t="str">
        <x:v>assertion_result_id、evidence_id、report_id、failure_analysis_id、defect_link_id</x:v>
      </x:c>
      <x:c r="E19" s="1039" t="str">
        <x:v>Report/Feedback</x:v>
      </x:c>
      <x:c r="F19" s="1039" t="str">
        <x:v>所有反馈保留requirement/asset/case/execution/resource链</x:v>
      </x:c>
      <x:c r="G19" s="1039" t="str">
        <x:v>失败证据和分析</x:v>
      </x:c>
      <x:c r="H19" s="1040" t="str">
        <x:v>泛化回到无上下文INPUT</x:v>
      </x:c>
    </x:row>
    <x:row r="20" ht="48" customHeight="1">
      <x:c r="A20" s="1325" t="str">
        <x:v>补充A. 需求版本生效</x:v>
      </x:c>
      <x:c r="B20" s="1326" t="str">
        <x:v>Requirement草稿</x:v>
      </x:c>
      <x:c r="C20" s="1326" t="str">
        <x:v>project_id、requirement_id</x:v>
      </x:c>
      <x:c r="D20" s="1326" t="str">
        <x:v>requirement_version_id、content_checksum</x:v>
      </x:c>
      <x:c r="E20" s="1326" t="str">
        <x:v>RequirementVersion</x:v>
      </x:c>
      <x:c r="F20" s="1326" t="str">
        <x:v>生成上下文始终继承明确requirement_version_id</x:v>
      </x:c>
      <x:c r="G20" s="1326" t="str">
        <x:v>旧版本和变更摘要</x:v>
      </x:c>
      <x:c r="H20" s="1327" t="str">
        <x:v>直接覆盖需求正文</x:v>
      </x:c>
    </x:row>
    <x:row r="21" ht="48" customHeight="1">
      <x:c r="A21" s="1336" t="str">
        <x:v>补充B. 覆盖关系建立</x:v>
      </x:c>
      <x:c r="B21" s="1337" t="str">
        <x:v>RequirementVersion/Item/AC/Rule</x:v>
      </x:c>
      <x:c r="C21" s="1337" t="str">
        <x:v>requirement_version_id、requirement_item_id、acceptance_criterion_id、business_rule_id</x:v>
      </x:c>
      <x:c r="D21" s="1337" t="str">
        <x:v>coverage_relation_id</x:v>
      </x:c>
      <x:c r="E21" s="1337" t="str">
        <x:v>CoverageRelation</x:v>
      </x:c>
      <x:c r="F21" s="1337" t="str">
        <x:v>资产入库建立来源，覆盖服务独立判断覆盖状态</x:v>
      </x:c>
      <x:c r="G21" s="1337" t="str">
        <x:v>未覆盖/部分覆盖记录</x:v>
      </x:c>
      <x:c r="H21" s="1338" t="str">
        <x:v>把来源关系直接当覆盖关系</x:v>
      </x:c>
    </x:row>
    <x:row r="22" ht="48" customHeight="1">
      <x:c r="A22" s="1347" t="str">
        <x:v>补充C. 发布与构建登记</x:v>
      </x:c>
      <x:c r="B22" s="1348" t="str">
        <x:v>CI/CD或发布系统</x:v>
      </x:c>
      <x:c r="C22" s="1348" t="str">
        <x:v>project_id、release_id、commit_sha</x:v>
      </x:c>
      <x:c r="D22" s="1348" t="str">
        <x:v>build_id、deployment_id</x:v>
      </x:c>
      <x:c r="E22" s="1348" t="str">
        <x:v>Release/Build</x:v>
      </x:c>
      <x:c r="F22" s="1348" t="str">
        <x:v>TestPlan和Execution继承被测build_id</x:v>
      </x:c>
      <x:c r="G22" s="1348" t="str">
        <x:v>构建和部署元数据</x:v>
      </x:c>
      <x:c r="H22" s="1349" t="str">
        <x:v>报告只记录staging不记录版本</x:v>
      </x:c>
    </x:row>
    <x:row r="23" ht="48" customHeight="1">
      <x:c r="A23" s="1358" t="str">
        <x:v>补充D. 测试计划组织</x:v>
      </x:c>
      <x:c r="B23" s="1359" t="str">
        <x:v>TestSuite/TestCase选择</x:v>
      </x:c>
      <x:c r="C23" s="1359" t="str">
        <x:v>project_id、release_id、build_id、environment_id</x:v>
      </x:c>
      <x:c r="D23" s="1359" t="str">
        <x:v>test_plan_id、test_campaign_id</x:v>
      </x:c>
      <x:c r="E23" s="1359" t="str">
        <x:v>TestPlan/TestCampaign</x:v>
      </x:c>
      <x:c r="F23" s="1359" t="str">
        <x:v>计划范围形成快照，执行时产生PlanExecution</x:v>
      </x:c>
      <x:c r="G23" s="1359" t="str">
        <x:v>计划草稿和评审记录</x:v>
      </x:c>
      <x:c r="H23" s="1360" t="str">
        <x:v>直接用散乱case_ids代替发布计划</x:v>
      </x:c>
    </x:row>
    <x:row r="24" ht="48" customHeight="1">
      <x:c r="A24" s="1369" t="str">
        <x:v>补充E. 资源人工确认</x:v>
      </x:c>
      <x:c r="B24" s="1370" t="str">
        <x:v>ResourceBinding候选</x:v>
      </x:c>
      <x:c r="C24" s="1370" t="str">
        <x:v>conversion_attempt_id、semantic_role、candidate_resource_ids</x:v>
      </x:c>
      <x:c r="D24" s="1370" t="str">
        <x:v>resolution_decision_id</x:v>
      </x:c>
      <x:c r="E24" s="1370" t="str">
        <x:v>ResourceResolutionDecision</x:v>
      </x:c>
      <x:c r="F24" s="1370" t="str">
        <x:v>selected_resource_id进入BoundPlan并留审计</x:v>
      </x:c>
      <x:c r="G24" s="1370" t="str">
        <x:v>候选集合和等待状态</x:v>
      </x:c>
      <x:c r="H24" s="1371" t="str">
        <x:v>只在前端临时保存选择</x:v>
      </x:c>
    </x:row>
    <x:row r="25" ht="48" customHeight="1">
      <x:c r="A25" s="1380" t="str">
        <x:v>补充F. 数据与环境预占</x:v>
      </x:c>
      <x:c r="B25" s="1381" t="str">
        <x:v>ExecutionJob/TestCaseVersion</x:v>
      </x:c>
      <x:c r="C25" s="1381" t="str">
        <x:v>execution_job_id、environment_id、data_profile_ids</x:v>
      </x:c>
      <x:c r="D25" s="1381" t="str">
        <x:v>data_reservation_id、environment_reservation_id</x:v>
      </x:c>
      <x:c r="E25" s="1381" t="str">
        <x:v>Reservation</x:v>
      </x:c>
      <x:c r="F25" s="1381" t="str">
        <x:v>Runner启动前确认预占有效</x:v>
      </x:c>
      <x:c r="G25" s="1381" t="str">
        <x:v>预占失败和冲突原因</x:v>
      </x:c>
      <x:c r="H25" s="1382" t="str">
        <x:v>多个执行并发抢同一独占资源</x:v>
      </x:c>
    </x:row>
    <x:row r="26" ht="48" customHeight="1">
      <x:c r="A26" s="1391" t="str">
        <x:v>补充G. 逐步骤与清理</x:v>
      </x:c>
      <x:c r="B26" s="1392" t="str">
        <x:v>Execution</x:v>
      </x:c>
      <x:c r="C26" s="1392" t="str">
        <x:v>execution_id、test_case_version_id</x:v>
      </x:c>
      <x:c r="D26" s="1392" t="str">
        <x:v>step_result_id、cleanup_result_id</x:v>
      </x:c>
      <x:c r="E26" s="1392" t="str">
        <x:v>ExecutionStepResult/CleanupResult</x:v>
      </x:c>
      <x:c r="F26" s="1392" t="str">
        <x:v>每步状态和证据关联；cleanup独立落库</x:v>
      </x:c>
      <x:c r="G26" s="1392" t="str">
        <x:v>失败步骤、清理失败和环境恢复结果</x:v>
      </x:c>
      <x:c r="H26" s="1393" t="str">
        <x:v>只在Runner日志中记录cleanup</x:v>
      </x:c>
    </x:row>
    <x:row r="27" ht="48" customHeight="1">
      <x:c r="A27" s="1325" t="str">
        <x:v>补充H. Flaky与隔离</x:v>
      </x:c>
      <x:c r="B27" s="1326" t="str">
        <x:v>Execution历史</x:v>
      </x:c>
      <x:c r="C27" s="1326" t="str">
        <x:v>test_case_id、test_case_version_id、execution_id</x:v>
      </x:c>
      <x:c r="D27" s="1326" t="str">
        <x:v>flaky_profile_id、quarantine_record_id</x:v>
      </x:c>
      <x:c r="E27" s="1326" t="str">
        <x:v>FlakyProfile/QuarantineRecord</x:v>
      </x:c>
      <x:c r="F27" s="1326" t="str">
        <x:v>passed_after_retry进入不稳定分析</x:v>
      </x:c>
      <x:c r="G27" s="1326" t="str">
        <x:v>重试历史和隔离原因</x:v>
      </x:c>
      <x:c r="H27" s="1327" t="str">
        <x:v>重试成功直接记普通通过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6" hidden="0" customWidth="1"/>
    <x:col min="4" max="4" width="32" hidden="0" customWidth="1"/>
    <x:col min="5" max="5" width="26" hidden="0" customWidth="1"/>
    <x:col min="6" max="6" width="36" hidden="0" customWidth="1"/>
    <x:col min="7" max="7" width="48" hidden="0" customWidth="1"/>
    <x:col min="8" max="8" width="38" hidden="0" customWidth="1"/>
    <x:col min="9" max="9" width="12" hidden="0" customWidth="1"/>
    <x:col min="10" max="10" width="34" hidden="0" customWidth="1"/>
  </x:cols>
  <x:sheetData>
    <x:row r="1" ht="34" customHeight="1">
      <x:c r="A1" s="1122" t="str">
        <x:v>各域建议实体、数据表与核心字段</x:v>
      </x:c>
      <x:c r="B1" s="1123"/>
      <x:c r="C1" s="1123"/>
      <x:c r="D1" s="1123"/>
      <x:c r="E1" s="1123"/>
      <x:c r="F1" s="1123"/>
      <x:c r="G1" s="1123"/>
      <x:c r="H1" s="1123"/>
      <x:c r="I1" s="1123"/>
      <x:c r="J1" s="1124"/>
    </x:row>
    <x:row r="3" ht="34" customHeight="1">
      <x:c r="A3" s="890" t="str">
        <x:v>层级</x:v>
      </x:c>
      <x:c r="B3" s="891" t="str">
        <x:v>域名称</x:v>
      </x:c>
      <x:c r="C3" s="891" t="str">
        <x:v>核心实体</x:v>
      </x:c>
      <x:c r="D3" s="891" t="str">
        <x:v>建议表/集合</x:v>
      </x:c>
      <x:c r="E3" s="891" t="str">
        <x:v>主键</x:v>
      </x:c>
      <x:c r="F3" s="891" t="str">
        <x:v>关键外键</x:v>
      </x:c>
      <x:c r="G3" s="891" t="str">
        <x:v>核心业务字段</x:v>
      </x:c>
      <x:c r="H3" s="891" t="str">
        <x:v>必须索引</x:v>
      </x:c>
      <x:c r="I3" s="891" t="str">
        <x:v>V1是否建表</x:v>
      </x:c>
      <x:c r="J3" s="892" t="str">
        <x:v>说明</x:v>
      </x:c>
    </x:row>
    <x:row r="4" ht="38" customHeight="1">
      <x:c r="A4" s="1136" t="n">
        <x:v>1</x:v>
      </x:c>
      <x:c r="B4" s="1137" t="str">
        <x:v>多元输入与自然语言生成域</x:v>
      </x:c>
      <x:c r="C4" s="1029" t="str">
        <x:v>Project</x:v>
      </x:c>
      <x:c r="D4" s="1029" t="str">
        <x:v>projects</x:v>
      </x:c>
      <x:c r="E4" s="1029" t="str">
        <x:v>project_id</x:v>
      </x:c>
      <x:c r="F4" s="1029" t="str"/>
      <x:c r="G4" s="1029" t="str">
        <x:v>name,status</x:v>
      </x:c>
      <x:c r="H4" s="1029" t="str">
        <x:v>status</x:v>
      </x:c>
      <x:c r="I4" s="1029" t="str">
        <x:v>是</x:v>
      </x:c>
      <x:c r="J4" s="1030" t="str">
        <x:v>最小项目模型</x:v>
      </x:c>
    </x:row>
    <x:row r="5" ht="38" customHeight="1">
      <x:c r="A5" s="1138" t="n">
        <x:v>1</x:v>
      </x:c>
      <x:c r="B5" s="1139" t="str">
        <x:v>多元输入与自然语言生成域</x:v>
      </x:c>
      <x:c r="C5" s="1134" t="str">
        <x:v>Requirement</x:v>
      </x:c>
      <x:c r="D5" s="1134" t="str">
        <x:v>requirements</x:v>
      </x:c>
      <x:c r="E5" s="1134" t="str">
        <x:v>requirement_id</x:v>
      </x:c>
      <x:c r="F5" s="1134" t="str">
        <x:v>project_id,source_id</x:v>
      </x:c>
      <x:c r="G5" s="1134" t="str">
        <x:v>title,description,status,priority,external_key</x:v>
      </x:c>
      <x:c r="H5" s="1134" t="str">
        <x:v>project_id,status,external_key</x:v>
      </x:c>
      <x:c r="I5" s="1134" t="str">
        <x:v>是</x:v>
      </x:c>
      <x:c r="J5" s="1135" t="str">
        <x:v>需求身份与来源映射</x:v>
      </x:c>
    </x:row>
    <x:row r="6" ht="38" customHeight="1">
      <x:c r="A6" s="1136" t="n">
        <x:v>1</x:v>
      </x:c>
      <x:c r="B6" s="1137" t="str">
        <x:v>多元输入与自然语言生成域</x:v>
      </x:c>
      <x:c r="C6" s="1029" t="str">
        <x:v>SourceRecord</x:v>
      </x:c>
      <x:c r="D6" s="1029" t="str">
        <x:v>source_records</x:v>
      </x:c>
      <x:c r="E6" s="1029" t="str">
        <x:v>source_id</x:v>
      </x:c>
      <x:c r="F6" s="1029" t="str">
        <x:v>project_id,requirement_id</x:v>
      </x:c>
      <x:c r="G6" s="1029" t="str">
        <x:v>source_type,source_uri,raw_snapshot_ref</x:v>
      </x:c>
      <x:c r="H6" s="1029" t="str">
        <x:v>project_id,source_type</x:v>
      </x:c>
      <x:c r="I6" s="1029" t="str">
        <x:v>是</x:v>
      </x:c>
      <x:c r="J6" s="1030" t="str">
        <x:v>统一输入来源</x:v>
      </x:c>
    </x:row>
    <x:row r="7" ht="38" customHeight="1">
      <x:c r="A7" s="1138" t="n">
        <x:v>1</x:v>
      </x:c>
      <x:c r="B7" s="1139" t="str">
        <x:v>多元输入与自然语言生成域</x:v>
      </x:c>
      <x:c r="C7" s="1134" t="str">
        <x:v>SourceDocument</x:v>
      </x:c>
      <x:c r="D7" s="1134" t="str">
        <x:v>source_documents</x:v>
      </x:c>
      <x:c r="E7" s="1134" t="str">
        <x:v>document_id</x:v>
      </x:c>
      <x:c r="F7" s="1134" t="str">
        <x:v>project_id,requirement_id,source_id</x:v>
      </x:c>
      <x:c r="G7" s="1134" t="str">
        <x:v>file_name,mime_type,current_version_id</x:v>
      </x:c>
      <x:c r="H7" s="1134" t="str">
        <x:v>project_id,requirement_id</x:v>
      </x:c>
      <x:c r="I7" s="1134" t="str">
        <x:v>是</x:v>
      </x:c>
      <x:c r="J7" s="1135" t="str">
        <x:v>文档身份</x:v>
      </x:c>
    </x:row>
    <x:row r="8" ht="38" customHeight="1">
      <x:c r="A8" s="1136" t="n">
        <x:v>1</x:v>
      </x:c>
      <x:c r="B8" s="1137" t="str">
        <x:v>多元输入与自然语言生成域</x:v>
      </x:c>
      <x:c r="C8" s="1029" t="str">
        <x:v>DocumentVersion</x:v>
      </x:c>
      <x:c r="D8" s="1029" t="str">
        <x:v>document_versions</x:v>
      </x:c>
      <x:c r="E8" s="1029" t="str">
        <x:v>document_version_id</x:v>
      </x:c>
      <x:c r="F8" s="1029" t="str">
        <x:v>document_id</x:v>
      </x:c>
      <x:c r="G8" s="1029" t="str">
        <x:v>object_ref,checksum,parse_status</x:v>
      </x:c>
      <x:c r="H8" s="1029" t="str">
        <x:v>document_id,checksum,parse_status</x:v>
      </x:c>
      <x:c r="I8" s="1029" t="str">
        <x:v>是</x:v>
      </x:c>
      <x:c r="J8" s="1030" t="str">
        <x:v>不可变内容版本</x:v>
      </x:c>
    </x:row>
    <x:row r="9" ht="38" customHeight="1">
      <x:c r="A9" s="1138" t="n">
        <x:v>1</x:v>
      </x:c>
      <x:c r="B9" s="1139" t="str">
        <x:v>多元输入与自然语言生成域</x:v>
      </x:c>
      <x:c r="C9" s="1134" t="str">
        <x:v>DocumentSection</x:v>
      </x:c>
      <x:c r="D9" s="1134" t="str">
        <x:v>document_sections</x:v>
      </x:c>
      <x:c r="E9" s="1134" t="str">
        <x:v>section_id</x:v>
      </x:c>
      <x:c r="F9" s="1134" t="str">
        <x:v>document_version_id,parent_section_id</x:v>
      </x:c>
      <x:c r="G9" s="1134" t="str">
        <x:v>title,path,order_index,page_range,text_ref</x:v>
      </x:c>
      <x:c r="H9" s="1134" t="str">
        <x:v>document_version_id,parent_section_id</x:v>
      </x:c>
      <x:c r="I9" s="1134" t="str">
        <x:v>是</x:v>
      </x:c>
      <x:c r="J9" s="1135" t="str">
        <x:v>章节层级</x:v>
      </x:c>
    </x:row>
    <x:row r="10" ht="38" customHeight="1">
      <x:c r="A10" s="1136" t="n">
        <x:v>1</x:v>
      </x:c>
      <x:c r="B10" s="1137" t="str">
        <x:v>多元输入与自然语言生成域</x:v>
      </x:c>
      <x:c r="C10" s="1029" t="str">
        <x:v>GenerationContext</x:v>
      </x:c>
      <x:c r="D10" s="1029" t="str">
        <x:v>generation_contexts</x:v>
      </x:c>
      <x:c r="E10" s="1029" t="str">
        <x:v>generation_context_id</x:v>
      </x:c>
      <x:c r="F10" s="1029" t="str">
        <x:v>project_id,requirement_id,document_version_id</x:v>
      </x:c>
      <x:c r="G10" s="1029" t="str">
        <x:v>context_snapshot,status</x:v>
      </x:c>
      <x:c r="H10" s="1029" t="str">
        <x:v>project_id,requirement_id</x:v>
      </x:c>
      <x:c r="I10" s="1029" t="str">
        <x:v>是</x:v>
      </x:c>
      <x:c r="J10" s="1030" t="str">
        <x:v>生成前锁定范围</x:v>
      </x:c>
    </x:row>
    <x:row r="11" ht="38" customHeight="1">
      <x:c r="A11" s="1138" t="n">
        <x:v>1</x:v>
      </x:c>
      <x:c r="B11" s="1139" t="str">
        <x:v>多元输入与自然语言生成域</x:v>
      </x:c>
      <x:c r="C11" s="1134" t="str">
        <x:v>GenerationBatch</x:v>
      </x:c>
      <x:c r="D11" s="1134" t="str">
        <x:v>generation_batches</x:v>
      </x:c>
      <x:c r="E11" s="1134" t="str">
        <x:v>generation_batch_id</x:v>
      </x:c>
      <x:c r="F11" s="1134" t="str">
        <x:v>generation_context_id</x:v>
      </x:c>
      <x:c r="G11" s="1134" t="str">
        <x:v>status,requested/generated/admitted/duplicate/failed counts</x:v>
      </x:c>
      <x:c r="H11" s="1134" t="str">
        <x:v>status,created_at</x:v>
      </x:c>
      <x:c r="I11" s="1134" t="str">
        <x:v>是</x:v>
      </x:c>
      <x:c r="J11" s="1135" t="str">
        <x:v>批次统计</x:v>
      </x:c>
    </x:row>
    <x:row r="12" ht="38" customHeight="1">
      <x:c r="A12" s="1136" t="n">
        <x:v>1</x:v>
      </x:c>
      <x:c r="B12" s="1137" t="str">
        <x:v>多元输入与自然语言生成域</x:v>
      </x:c>
      <x:c r="C12" s="1029" t="str">
        <x:v>ModelRun</x:v>
      </x:c>
      <x:c r="D12" s="1029" t="str">
        <x:v>model_runs</x:v>
      </x:c>
      <x:c r="E12" s="1029" t="str">
        <x:v>model_run_id</x:v>
      </x:c>
      <x:c r="F12" s="1029" t="str">
        <x:v>generation_batch_id</x:v>
      </x:c>
      <x:c r="G12" s="1029" t="str">
        <x:v>provider,model,prompt_version,status,token_usage</x:v>
      </x:c>
      <x:c r="H12" s="1029" t="str">
        <x:v>batch_id,status</x:v>
      </x:c>
      <x:c r="I12" s="1029" t="str">
        <x:v>是</x:v>
      </x:c>
      <x:c r="J12" s="1030" t="str">
        <x:v>模型调用审计</x:v>
      </x:c>
    </x:row>
    <x:row r="13" ht="38" customHeight="1">
      <x:c r="A13" s="1140" t="n">
        <x:v>2</x:v>
      </x:c>
      <x:c r="B13" s="1141" t="str">
        <x:v>自然语言测试资产域</x:v>
      </x:c>
      <x:c r="C13" s="1029" t="str">
        <x:v>TestAsset</x:v>
      </x:c>
      <x:c r="D13" s="1029" t="str">
        <x:v>test_assets</x:v>
      </x:c>
      <x:c r="E13" s="1029" t="str">
        <x:v>test_asset_id</x:v>
      </x:c>
      <x:c r="F13" s="1029" t="str">
        <x:v>project_id,intent_id,current_version_id</x:v>
      </x:c>
      <x:c r="G13" s="1029" t="str">
        <x:v>review_status,conversion_status,duplicate_status,deleted_at</x:v>
      </x:c>
      <x:c r="H13" s="1029" t="str">
        <x:v>project_id,review_status,conversion_status</x:v>
      </x:c>
      <x:c r="I13" s="1029" t="str">
        <x:v>是</x:v>
      </x:c>
      <x:c r="J13" s="1030" t="str">
        <x:v>资产身份</x:v>
      </x:c>
    </x:row>
    <x:row r="14" ht="38" customHeight="1">
      <x:c r="A14" s="1142" t="n">
        <x:v>2</x:v>
      </x:c>
      <x:c r="B14" s="1143" t="str">
        <x:v>自然语言测试资产域</x:v>
      </x:c>
      <x:c r="C14" s="1039" t="str">
        <x:v>AssetVersion</x:v>
      </x:c>
      <x:c r="D14" s="1039" t="str">
        <x:v>test_asset_versions</x:v>
      </x:c>
      <x:c r="E14" s="1039" t="str">
        <x:v>asset_version_id</x:v>
      </x:c>
      <x:c r="F14" s="1039" t="str">
        <x:v>test_asset_id</x:v>
      </x:c>
      <x:c r="G14" s="1039" t="str">
        <x:v>version_no,title,precondition,natural_steps,expected_result,priority,tags</x:v>
      </x:c>
      <x:c r="H14" s="1039" t="str">
        <x:v>test_asset_id,version_no</x:v>
      </x:c>
      <x:c r="I14" s="1039" t="str">
        <x:v>是</x:v>
      </x:c>
      <x:c r="J14" s="1040" t="str">
        <x:v>自然语言内容事实源</x:v>
      </x:c>
    </x:row>
    <x:row r="15" ht="38" customHeight="1">
      <x:c r="A15" s="1140" t="n">
        <x:v>2</x:v>
      </x:c>
      <x:c r="B15" s="1141" t="str">
        <x:v>自然语言测试资产域</x:v>
      </x:c>
      <x:c r="C15" s="1029" t="str">
        <x:v>TestAssetSource</x:v>
      </x:c>
      <x:c r="D15" s="1029" t="str">
        <x:v>test_asset_sources</x:v>
      </x:c>
      <x:c r="E15" s="1029" t="str">
        <x:v>asset_source_id</x:v>
      </x:c>
      <x:c r="F15" s="1029" t="str">
        <x:v>test_asset_id,requirement_id,document_id,section_id,page_id,generation_batch_id</x:v>
      </x:c>
      <x:c r="G15" s="1029" t="str">
        <x:v>source_type,source_snapshot_id</x:v>
      </x:c>
      <x:c r="H15" s="1029" t="str">
        <x:v>test_asset_id,requirement_id,document_id,section_id,page_id,batch_id</x:v>
      </x:c>
      <x:c r="I15" s="1029" t="str">
        <x:v>是</x:v>
      </x:c>
      <x:c r="J15" s="1030" t="str">
        <x:v>来源追踪</x:v>
      </x:c>
    </x:row>
    <x:row r="16" ht="38" customHeight="1">
      <x:c r="A16" s="1142" t="n">
        <x:v>2</x:v>
      </x:c>
      <x:c r="B16" s="1143" t="str">
        <x:v>自然语言测试资产域</x:v>
      </x:c>
      <x:c r="C16" s="1039" t="str">
        <x:v>DuplicateRelation</x:v>
      </x:c>
      <x:c r="D16" s="1039" t="str">
        <x:v>asset_duplicate_relations</x:v>
      </x:c>
      <x:c r="E16" s="1039" t="str">
        <x:v>duplicate_relation_id</x:v>
      </x:c>
      <x:c r="F16" s="1039" t="str">
        <x:v>source_asset_id,target_asset_id</x:v>
      </x:c>
      <x:c r="G16" s="1039" t="str">
        <x:v>type,similarity_score,status,algorithm_version</x:v>
      </x:c>
      <x:c r="H16" s="1039" t="str">
        <x:v>asset pair,status</x:v>
      </x:c>
      <x:c r="I16" s="1039" t="str">
        <x:v>否</x:v>
      </x:c>
      <x:c r="J16" s="1040" t="str">
        <x:v>V1先精确指纹可不独立建语义表</x:v>
      </x:c>
    </x:row>
    <x:row r="17" ht="38" customHeight="1">
      <x:c r="A17" s="1140" t="n">
        <x:v>2</x:v>
      </x:c>
      <x:c r="B17" s="1141" t="str">
        <x:v>自然语言测试资产域</x:v>
      </x:c>
      <x:c r="C17" s="1029" t="str">
        <x:v>ReviewRecord</x:v>
      </x:c>
      <x:c r="D17" s="1029" t="str">
        <x:v>asset_review_records</x:v>
      </x:c>
      <x:c r="E17" s="1029" t="str">
        <x:v>review_record_id</x:v>
      </x:c>
      <x:c r="F17" s="1029" t="str">
        <x:v>asset_version_id,user_id</x:v>
      </x:c>
      <x:c r="G17" s="1029" t="str">
        <x:v>decision,comment,created_at</x:v>
      </x:c>
      <x:c r="H17" s="1029" t="str">
        <x:v>asset_version_id,decision</x:v>
      </x:c>
      <x:c r="I17" s="1029" t="str">
        <x:v>是</x:v>
      </x:c>
      <x:c r="J17" s="1030" t="str">
        <x:v>审核审计</x:v>
      </x:c>
    </x:row>
    <x:row r="18" ht="38" customHeight="1">
      <x:c r="A18" s="1142" t="n">
        <x:v>2</x:v>
      </x:c>
      <x:c r="B18" s="1143" t="str">
        <x:v>自然语言测试资产域</x:v>
      </x:c>
      <x:c r="C18" s="1039" t="str">
        <x:v>PrescreenResult</x:v>
      </x:c>
      <x:c r="D18" s="1039" t="str">
        <x:v>asset_prescreen_results</x:v>
      </x:c>
      <x:c r="E18" s="1039" t="str">
        <x:v>prescreen_result_id</x:v>
      </x:c>
      <x:c r="F18" s="1039" t="str">
        <x:v>asset_version_id,model_run_id</x:v>
      </x:c>
      <x:c r="G18" s="1039" t="str">
        <x:v>confidence,auto_tags,scenario_suggestions,warnings</x:v>
      </x:c>
      <x:c r="H18" s="1039" t="str">
        <x:v>asset_version_id,status</x:v>
      </x:c>
      <x:c r="I18" s="1039" t="str">
        <x:v>否</x:v>
      </x:c>
      <x:c r="J18" s="1040" t="str">
        <x:v>入库后异步</x:v>
      </x:c>
    </x:row>
    <x:row r="19" ht="38" customHeight="1">
      <x:c r="A19" s="1144" t="n">
        <x:v>3</x:v>
      </x:c>
      <x:c r="B19" s="1145" t="str">
        <x:v>Asset-to-Case 转换与统一拦截域</x:v>
      </x:c>
      <x:c r="C19" s="1029" t="str">
        <x:v>ConversionAttempt</x:v>
      </x:c>
      <x:c r="D19" s="1029" t="str">
        <x:v>conversion_attempts</x:v>
      </x:c>
      <x:c r="E19" s="1029" t="str">
        <x:v>conversion_attempt_id</x:v>
      </x:c>
      <x:c r="F19" s="1029" t="str">
        <x:v>project_id,asset_id,asset_version_id,environment_id</x:v>
      </x:c>
      <x:c r="G19" s="1029" t="str">
        <x:v>status,current_stage,manifest,plan,error_summary,generated_case_ids</x:v>
      </x:c>
      <x:c r="H19" s="1029" t="str">
        <x:v>asset_id,asset_version_id,status</x:v>
      </x:c>
      <x:c r="I19" s="1029" t="str">
        <x:v>是</x:v>
      </x:c>
      <x:c r="J19" s="1030" t="str">
        <x:v>转换审计核心</x:v>
      </x:c>
    </x:row>
    <x:row r="20" ht="38" customHeight="1">
      <x:c r="A20" s="1146" t="n">
        <x:v>3</x:v>
      </x:c>
      <x:c r="B20" s="1147" t="str">
        <x:v>Asset-to-Case 转换与统一拦截域</x:v>
      </x:c>
      <x:c r="C20" s="1056" t="str">
        <x:v>ResourceBinding</x:v>
      </x:c>
      <x:c r="D20" s="1056" t="str">
        <x:v>conversion_resource_bindings</x:v>
      </x:c>
      <x:c r="E20" s="1056" t="str">
        <x:v>resource_binding_id</x:v>
      </x:c>
      <x:c r="F20" s="1056" t="str">
        <x:v>conversion_attempt_id,resource_id</x:v>
      </x:c>
      <x:c r="G20" s="1056" t="str">
        <x:v>resource_type,resource_version,constraints,status</x:v>
      </x:c>
      <x:c r="H20" s="1056" t="str">
        <x:v>attempt_id,resource_id,status</x:v>
      </x:c>
      <x:c r="I20" s="1056" t="str">
        <x:v>是</x:v>
      </x:c>
      <x:c r="J20" s="1057" t="str">
        <x:v>可独立表或JSON子表</x:v>
      </x:c>
    </x:row>
    <x:row r="21" ht="38" customHeight="1">
      <x:c r="A21" s="1144" t="n">
        <x:v>3</x:v>
      </x:c>
      <x:c r="B21" s="1145" t="str">
        <x:v>Asset-to-Case 转换与统一拦截域</x:v>
      </x:c>
      <x:c r="C21" s="1029" t="str">
        <x:v>ConversionError</x:v>
      </x:c>
      <x:c r="D21" s="1029" t="str">
        <x:v>conversion_errors</x:v>
      </x:c>
      <x:c r="E21" s="1029" t="str">
        <x:v>conversion_error_id</x:v>
      </x:c>
      <x:c r="F21" s="1029" t="str">
        <x:v>conversion_attempt_id</x:v>
      </x:c>
      <x:c r="G21" s="1029" t="str">
        <x:v>code,stage,step_index,resource_type,message,fix_hint,candidates</x:v>
      </x:c>
      <x:c r="H21" s="1029" t="str">
        <x:v>attempt_id,code,stage</x:v>
      </x:c>
      <x:c r="I21" s="1029" t="str">
        <x:v>是</x:v>
      </x:c>
      <x:c r="J21" s="1030" t="str">
        <x:v>结构化错误</x:v>
      </x:c>
    </x:row>
    <x:row r="22" ht="38" customHeight="1">
      <x:c r="A22" s="1148" t="n">
        <x:v>4</x:v>
      </x:c>
      <x:c r="B22" s="1149" t="str">
        <x:v>公共资源与能力域</x:v>
      </x:c>
      <x:c r="C22" s="1029" t="str">
        <x:v>Page/PageVersion</x:v>
      </x:c>
      <x:c r="D22" s="1029" t="str">
        <x:v>pages,page_versions</x:v>
      </x:c>
      <x:c r="E22" s="1029" t="str">
        <x:v>page_id/page_version_id</x:v>
      </x:c>
      <x:c r="F22" s="1029" t="str">
        <x:v>project_id/page_id</x:v>
      </x:c>
      <x:c r="G22" s="1029" t="str">
        <x:v>page_code,name,url_pattern,status,version_no</x:v>
      </x:c>
      <x:c r="H22" s="1029" t="str">
        <x:v>project_id,page_code,status</x:v>
      </x:c>
      <x:c r="I22" s="1029" t="str">
        <x:v>是</x:v>
      </x:c>
      <x:c r="J22" s="1030" t="str">
        <x:v>页面对象V1</x:v>
      </x:c>
    </x:row>
    <x:row r="23" ht="38" customHeight="1">
      <x:c r="A23" s="1150" t="n">
        <x:v>4</x:v>
      </x:c>
      <x:c r="B23" s="1151" t="str">
        <x:v>公共资源与能力域</x:v>
      </x:c>
      <x:c r="C23" s="1084" t="str">
        <x:v>Element/Locator</x:v>
      </x:c>
      <x:c r="D23" s="1084" t="str">
        <x:v>page_elements,element_locators</x:v>
      </x:c>
      <x:c r="E23" s="1084" t="str">
        <x:v>element_id/locator_id</x:v>
      </x:c>
      <x:c r="F23" s="1084" t="str">
        <x:v>page_version_id/element_id</x:v>
      </x:c>
      <x:c r="G23" s="1084" t="str">
        <x:v>element_code,alias,role,supported_actions,strategy,value,priority</x:v>
      </x:c>
      <x:c r="H23" s="1084" t="str">
        <x:v>page_version_id,element_code</x:v>
      </x:c>
      <x:c r="I23" s="1084" t="str">
        <x:v>是</x:v>
      </x:c>
      <x:c r="J23" s="1085" t="str">
        <x:v>页面元素V1</x:v>
      </x:c>
    </x:row>
    <x:row r="24" ht="38" customHeight="1">
      <x:c r="A24" s="1148" t="n">
        <x:v>4</x:v>
      </x:c>
      <x:c r="B24" s="1149" t="str">
        <x:v>公共资源与能力域</x:v>
      </x:c>
      <x:c r="C24" s="1029" t="str">
        <x:v>Environment</x:v>
      </x:c>
      <x:c r="D24" s="1029" t="str">
        <x:v>environments</x:v>
      </x:c>
      <x:c r="E24" s="1029" t="str">
        <x:v>environment_id</x:v>
      </x:c>
      <x:c r="F24" s="1029" t="str">
        <x:v>project_id</x:v>
      </x:c>
      <x:c r="G24" s="1029" t="str">
        <x:v>name,type,base_url,capability_allowlist,status,config_version</x:v>
      </x:c>
      <x:c r="H24" s="1029" t="str">
        <x:v>project_id,type,status</x:v>
      </x:c>
      <x:c r="I24" s="1029" t="str">
        <x:v>是</x:v>
      </x:c>
      <x:c r="J24" s="1030" t="str">
        <x:v>环境V1</x:v>
      </x:c>
    </x:row>
    <x:row r="25" ht="38" customHeight="1">
      <x:c r="A25" s="1150" t="n">
        <x:v>4</x:v>
      </x:c>
      <x:c r="B25" s="1151" t="str">
        <x:v>公共资源与能力域</x:v>
      </x:c>
      <x:c r="C25" s="1084" t="str">
        <x:v>DataProfile/DataVersion</x:v>
      </x:c>
      <x:c r="D25" s="1084" t="str">
        <x:v>data_profiles,data_versions</x:v>
      </x:c>
      <x:c r="E25" s="1084" t="str">
        <x:v>data_profile_id/data_version_id</x:v>
      </x:c>
      <x:c r="F25" s="1084" t="str">
        <x:v>project_id,environment_id</x:v>
      </x:c>
      <x:c r="G25" s="1084" t="str">
        <x:v>semantic_role,schema,data_ref,generator_ref,setup_ref,cleanup_ref,status</x:v>
      </x:c>
      <x:c r="H25" s="1084" t="str">
        <x:v>project_id,semantic_role,status</x:v>
      </x:c>
      <x:c r="I25" s="1084" t="str">
        <x:v>是</x:v>
      </x:c>
      <x:c r="J25" s="1085" t="str">
        <x:v>固定数据V1</x:v>
      </x:c>
    </x:row>
    <x:row r="26" ht="38" customHeight="1">
      <x:c r="A26" s="1148" t="n">
        <x:v>4</x:v>
      </x:c>
      <x:c r="B26" s="1149" t="str">
        <x:v>公共资源与能力域</x:v>
      </x:c>
      <x:c r="C26" s="1029" t="str">
        <x:v>CredentialMetadata</x:v>
      </x:c>
      <x:c r="D26" s="1029" t="str">
        <x:v>credential_refs</x:v>
      </x:c>
      <x:c r="E26" s="1029" t="str">
        <x:v>credential_ref</x:v>
      </x:c>
      <x:c r="F26" s="1029" t="str">
        <x:v>project_id,environment_id</x:v>
      </x:c>
      <x:c r="G26" s="1029" t="str">
        <x:v>provider,path,status,rotated_at</x:v>
      </x:c>
      <x:c r="H26" s="1029" t="str">
        <x:v>project_id,environment_id,status</x:v>
      </x:c>
      <x:c r="I26" s="1029" t="str">
        <x:v>是</x:v>
      </x:c>
      <x:c r="J26" s="1030" t="str">
        <x:v>只存元数据引用</x:v>
      </x:c>
    </x:row>
    <x:row r="27" ht="38" customHeight="1">
      <x:c r="A27" s="1150" t="n">
        <x:v>4</x:v>
      </x:c>
      <x:c r="B27" s="1151" t="str">
        <x:v>公共资源与能力域</x:v>
      </x:c>
      <x:c r="C27" s="1084" t="str">
        <x:v>Capability/Policy</x:v>
      </x:c>
      <x:c r="D27" s="1084" t="str">
        <x:v>capabilities,policies</x:v>
      </x:c>
      <x:c r="E27" s="1084" t="str">
        <x:v>capability_id/policy_id</x:v>
      </x:c>
      <x:c r="F27" s="1084" t="str">
        <x:v>project_id</x:v>
      </x:c>
      <x:c r="G27" s="1084" t="str">
        <x:v>code,version,type,input_schema,output_schema,allowed_envs,status</x:v>
      </x:c>
      <x:c r="H27" s="1084" t="str">
        <x:v>code,version,status</x:v>
      </x:c>
      <x:c r="I27" s="1084" t="str">
        <x:v>否</x:v>
      </x:c>
      <x:c r="J27" s="1085" t="str">
        <x:v>高级能力阶段</x:v>
      </x:c>
    </x:row>
    <x:row r="28" ht="38" customHeight="1">
      <x:c r="A28" s="1152" t="n">
        <x:v>5</x:v>
      </x:c>
      <x:c r="B28" s="1153" t="str">
        <x:v>测试用例、执行、证据与反馈域</x:v>
      </x:c>
      <x:c r="C28" s="1029" t="str">
        <x:v>TestCase</x:v>
      </x:c>
      <x:c r="D28" s="1029" t="str">
        <x:v>test_cases</x:v>
      </x:c>
      <x:c r="E28" s="1029" t="str">
        <x:v>test_case_id</x:v>
      </x:c>
      <x:c r="F28" s="1029" t="str">
        <x:v>project_id,source_asset_id,current_version_id</x:v>
      </x:c>
      <x:c r="G28" s="1029" t="str">
        <x:v>name,status,runner_type</x:v>
      </x:c>
      <x:c r="H28" s="1029" t="str">
        <x:v>project_id,status,source_asset_id</x:v>
      </x:c>
      <x:c r="I28" s="1029" t="str">
        <x:v>是</x:v>
      </x:c>
      <x:c r="J28" s="1030" t="str">
        <x:v>用例身份</x:v>
      </x:c>
    </x:row>
    <x:row r="29" ht="38" customHeight="1">
      <x:c r="A29" s="1154" t="n">
        <x:v>5</x:v>
      </x:c>
      <x:c r="B29" s="1155" t="str">
        <x:v>测试用例、执行、证据与反馈域</x:v>
      </x:c>
      <x:c r="C29" s="1094" t="str">
        <x:v>TestCaseVersion</x:v>
      </x:c>
      <x:c r="D29" s="1094" t="str">
        <x:v>test_case_versions</x:v>
      </x:c>
      <x:c r="E29" s="1094" t="str">
        <x:v>test_case_version_id</x:v>
      </x:c>
      <x:c r="F29" s="1094" t="str">
        <x:v>test_case_id,source_asset_version_id,resource_snapshot_id</x:v>
      </x:c>
      <x:c r="G29" s="1094" t="str">
        <x:v>version_no,script_code,compiler_id,compiler_version,runner_type</x:v>
      </x:c>
      <x:c r="H29" s="1094" t="str">
        <x:v>test_case_id,version_no</x:v>
      </x:c>
      <x:c r="I29" s="1094" t="str">
        <x:v>是</x:v>
      </x:c>
      <x:c r="J29" s="1095" t="str">
        <x:v>执行事实源</x:v>
      </x:c>
    </x:row>
    <x:row r="30" ht="38" customHeight="1">
      <x:c r="A30" s="1152" t="n">
        <x:v>5</x:v>
      </x:c>
      <x:c r="B30" s="1153" t="str">
        <x:v>测试用例、执行、证据与反馈域</x:v>
      </x:c>
      <x:c r="C30" s="1029" t="str">
        <x:v>ExecutionJob</x:v>
      </x:c>
      <x:c r="D30" s="1029" t="str">
        <x:v>execution_jobs</x:v>
      </x:c>
      <x:c r="E30" s="1029" t="str">
        <x:v>execution_job_id</x:v>
      </x:c>
      <x:c r="F30" s="1029" t="str">
        <x:v>project_id,schedule_id</x:v>
      </x:c>
      <x:c r="G30" s="1029" t="str">
        <x:v>status,priority,trigger_type,case_count</x:v>
      </x:c>
      <x:c r="H30" s="1029" t="str">
        <x:v>project_id,status,created_at</x:v>
      </x:c>
      <x:c r="I30" s="1029" t="str">
        <x:v>是</x:v>
      </x:c>
      <x:c r="J30" s="1030" t="str">
        <x:v>调度任务</x:v>
      </x:c>
    </x:row>
    <x:row r="31" ht="38" customHeight="1">
      <x:c r="A31" s="1154" t="n">
        <x:v>5</x:v>
      </x:c>
      <x:c r="B31" s="1155" t="str">
        <x:v>测试用例、执行、证据与反馈域</x:v>
      </x:c>
      <x:c r="C31" s="1094" t="str">
        <x:v>Execution</x:v>
      </x:c>
      <x:c r="D31" s="1094" t="str">
        <x:v>executions</x:v>
      </x:c>
      <x:c r="E31" s="1094" t="str">
        <x:v>execution_id</x:v>
      </x:c>
      <x:c r="F31" s="1094" t="str">
        <x:v>execution_job_id,test_case_version_id,environment_id</x:v>
      </x:c>
      <x:c r="G31" s="1094" t="str">
        <x:v>status,retry_count,started_at,finished_at,error_code</x:v>
      </x:c>
      <x:c r="H31" s="1094" t="str">
        <x:v>job_id,status,case_version_id</x:v>
      </x:c>
      <x:c r="I31" s="1094" t="str">
        <x:v>是</x:v>
      </x:c>
      <x:c r="J31" s="1095" t="str">
        <x:v>单用例执行</x:v>
      </x:c>
    </x:row>
    <x:row r="32" ht="38" customHeight="1">
      <x:c r="A32" s="1152" t="n">
        <x:v>5</x:v>
      </x:c>
      <x:c r="B32" s="1153" t="str">
        <x:v>测试用例、执行、证据与反馈域</x:v>
      </x:c>
      <x:c r="C32" s="1029" t="str">
        <x:v>AssertionResult</x:v>
      </x:c>
      <x:c r="D32" s="1029" t="str">
        <x:v>assertion_results</x:v>
      </x:c>
      <x:c r="E32" s="1029" t="str">
        <x:v>assertion_result_id</x:v>
      </x:c>
      <x:c r="F32" s="1029" t="str">
        <x:v>execution_id,evidence_id</x:v>
      </x:c>
      <x:c r="G32" s="1029" t="str">
        <x:v>step_id,type,expected,actual,status,message</x:v>
      </x:c>
      <x:c r="H32" s="1029" t="str">
        <x:v>execution_id,status</x:v>
      </x:c>
      <x:c r="I32" s="1029" t="str">
        <x:v>是</x:v>
      </x:c>
      <x:c r="J32" s="1030" t="str">
        <x:v>断言事实</x:v>
      </x:c>
    </x:row>
    <x:row r="33" ht="38" customHeight="1">
      <x:c r="A33" s="1154" t="n">
        <x:v>5</x:v>
      </x:c>
      <x:c r="B33" s="1155" t="str">
        <x:v>测试用例、执行、证据与反馈域</x:v>
      </x:c>
      <x:c r="C33" s="1094" t="str">
        <x:v>Evidence</x:v>
      </x:c>
      <x:c r="D33" s="1094" t="str">
        <x:v>evidence</x:v>
      </x:c>
      <x:c r="E33" s="1094" t="str">
        <x:v>evidence_id</x:v>
      </x:c>
      <x:c r="F33" s="1094" t="str">
        <x:v>execution_id,assertion_result_id</x:v>
      </x:c>
      <x:c r="G33" s="1094" t="str">
        <x:v>type,object_ref,checksum,size,status,expires_at</x:v>
      </x:c>
      <x:c r="H33" s="1094" t="str">
        <x:v>execution_id,type,status</x:v>
      </x:c>
      <x:c r="I33" s="1094" t="str">
        <x:v>是</x:v>
      </x:c>
      <x:c r="J33" s="1095" t="str">
        <x:v>证据元数据</x:v>
      </x:c>
    </x:row>
    <x:row r="34" ht="38" customHeight="1">
      <x:c r="A34" s="1152" t="n">
        <x:v>5</x:v>
      </x:c>
      <x:c r="B34" s="1153" t="str">
        <x:v>测试用例、执行、证据与反馈域</x:v>
      </x:c>
      <x:c r="C34" s="1029" t="str">
        <x:v>Report</x:v>
      </x:c>
      <x:c r="D34" s="1029" t="str">
        <x:v>reports</x:v>
      </x:c>
      <x:c r="E34" s="1029" t="str">
        <x:v>report_id</x:v>
      </x:c>
      <x:c r="F34" s="1029" t="str">
        <x:v>execution_job_id</x:v>
      </x:c>
      <x:c r="G34" s="1029" t="str">
        <x:v>format,object_ref,status,summary</x:v>
      </x:c>
      <x:c r="H34" s="1029" t="str">
        <x:v>job_id,status</x:v>
      </x:c>
      <x:c r="I34" s="1029" t="str">
        <x:v>是</x:v>
      </x:c>
      <x:c r="J34" s="1030" t="str">
        <x:v>可重建输出</x:v>
      </x:c>
    </x:row>
    <x:row r="35" ht="38" customHeight="1">
      <x:c r="A35" s="1156" t="n">
        <x:v>6</x:v>
      </x:c>
      <x:c r="B35" s="1157" t="str">
        <x:v>平台控制面</x:v>
      </x:c>
      <x:c r="C35" s="1029" t="str">
        <x:v>User/Role/Permission</x:v>
      </x:c>
      <x:c r="D35" s="1029" t="str">
        <x:v>users,roles,permissions,user_roles,role_permissions</x:v>
      </x:c>
      <x:c r="E35" s="1029" t="str">
        <x:v>各自主键</x:v>
      </x:c>
      <x:c r="F35" s="1029" t="str">
        <x:v>tenant/project</x:v>
      </x:c>
      <x:c r="G35" s="1029" t="str">
        <x:v>name,status,permission_code</x:v>
      </x:c>
      <x:c r="H35" s="1029" t="str">
        <x:v>status/code</x:v>
      </x:c>
      <x:c r="I35" s="1029" t="str">
        <x:v>否</x:v>
      </x:c>
      <x:c r="J35" s="1030" t="str">
        <x:v>V1可单管理员</x:v>
      </x:c>
    </x:row>
    <x:row r="36" ht="38" customHeight="1">
      <x:c r="A36" s="1158" t="n">
        <x:v>6</x:v>
      </x:c>
      <x:c r="B36" s="1159" t="str">
        <x:v>平台控制面</x:v>
      </x:c>
      <x:c r="C36" s="1105" t="str">
        <x:v>AuditEvent</x:v>
      </x:c>
      <x:c r="D36" s="1105" t="str">
        <x:v>audit_events</x:v>
      </x:c>
      <x:c r="E36" s="1105" t="str">
        <x:v>audit_event_id</x:v>
      </x:c>
      <x:c r="F36" s="1105" t="str">
        <x:v>project_id,user_id,trace_id</x:v>
      </x:c>
      <x:c r="G36" s="1105" t="str">
        <x:v>action,entity_type,entity_id,before_ref,after_ref,created_at</x:v>
      </x:c>
      <x:c r="H36" s="1105" t="str">
        <x:v>project_id,entity_type,entity_id,created_at</x:v>
      </x:c>
      <x:c r="I36" s="1105" t="str">
        <x:v>是</x:v>
      </x:c>
      <x:c r="J36" s="1106" t="str">
        <x:v>关键操作审计</x:v>
      </x:c>
    </x:row>
    <x:row r="37" ht="38" customHeight="1">
      <x:c r="A37" s="1156" t="n">
        <x:v>6</x:v>
      </x:c>
      <x:c r="B37" s="1157" t="str">
        <x:v>平台控制面</x:v>
      </x:c>
      <x:c r="C37" s="1029" t="str">
        <x:v>AsyncJob/DomainEvent</x:v>
      </x:c>
      <x:c r="D37" s="1029" t="str">
        <x:v>async_jobs,domain_events</x:v>
      </x:c>
      <x:c r="E37" s="1029" t="str">
        <x:v>job_id/event_id</x:v>
      </x:c>
      <x:c r="F37" s="1029" t="str">
        <x:v>project_id,trace_id,aggregate_id</x:v>
      </x:c>
      <x:c r="G37" s="1029" t="str">
        <x:v>type,status,payload_ref,retry_count,schema_version</x:v>
      </x:c>
      <x:c r="H37" s="1029" t="str">
        <x:v>status,type,aggregate_id</x:v>
      </x:c>
      <x:c r="I37" s="1029" t="str">
        <x:v>是</x:v>
      </x:c>
      <x:c r="J37" s="1030" t="str">
        <x:v>异步和失效事件</x:v>
      </x:c>
    </x:row>
    <x:row r="38" ht="38" customHeight="1">
      <x:c r="A38" s="1158" t="n">
        <x:v>6</x:v>
      </x:c>
      <x:c r="B38" s="1159" t="str">
        <x:v>平台控制面</x:v>
      </x:c>
      <x:c r="C38" s="1105" t="str">
        <x:v>FeatureFlag</x:v>
      </x:c>
      <x:c r="D38" s="1105" t="str">
        <x:v>feature_flags</x:v>
      </x:c>
      <x:c r="E38" s="1105" t="str">
        <x:v>feature_flag_id</x:v>
      </x:c>
      <x:c r="F38" s="1105" t="str">
        <x:v>project_id</x:v>
      </x:c>
      <x:c r="G38" s="1105" t="str">
        <x:v>flag_key,rules,enabled,version</x:v>
      </x:c>
      <x:c r="H38" s="1105" t="str">
        <x:v>flag_key,project_id</x:v>
      </x:c>
      <x:c r="I38" s="1105" t="str">
        <x:v>是</x:v>
      </x:c>
      <x:c r="J38" s="1106" t="str">
        <x:v>迁移期灰度</x:v>
      </x:c>
    </x:row>
    <x:row r="39" ht="38" customHeight="1">
      <x:c r="A39" s="1160" t="n">
        <x:v>7</x:v>
      </x:c>
      <x:c r="B39" s="1161" t="str">
        <x:v>技术基础设施域</x:v>
      </x:c>
      <x:c r="C39" s="1029" t="str">
        <x:v>Migration/Deployment</x:v>
      </x:c>
      <x:c r="D39" s="1029" t="str">
        <x:v>schema_migrations,deployment_log</x:v>
      </x:c>
      <x:c r="E39" s="1029" t="str">
        <x:v>migration_id/deployment_id</x:v>
      </x:c>
      <x:c r="F39" s="1029" t="str">
        <x:v>service/environment</x:v>
      </x:c>
      <x:c r="G39" s="1029" t="str">
        <x:v>version,status,artifact_digest,config_version</x:v>
      </x:c>
      <x:c r="H39" s="1029" t="str">
        <x:v>status,service,environment</x:v>
      </x:c>
      <x:c r="I39" s="1029" t="str">
        <x:v>是</x:v>
      </x:c>
      <x:c r="J39" s="1030" t="str">
        <x:v>基础设施审计</x:v>
      </x:c>
    </x:row>
    <x:row r="40" ht="38" customHeight="1">
      <x:c r="A40" s="1314" t="n">
        <x:v>1</x:v>
      </x:c>
      <x:c r="B40" s="1315" t="str">
        <x:v>多元输入与自然语言生成域</x:v>
      </x:c>
      <x:c r="C40" s="1315" t="str">
        <x:v>RequirementVersion</x:v>
      </x:c>
      <x:c r="D40" s="1315" t="str">
        <x:v>requirement_versions</x:v>
      </x:c>
      <x:c r="E40" s="1315" t="str">
        <x:v>requirement_version_id</x:v>
      </x:c>
      <x:c r="F40" s="1315" t="str">
        <x:v>requirement_id</x:v>
      </x:c>
      <x:c r="G40" s="1315" t="str">
        <x:v>version_no,title,content,checksum,change_summary,status,effective_at</x:v>
      </x:c>
      <x:c r="H40" s="1315" t="str">
        <x:v>requirement_id,version_no,status,checksum</x:v>
      </x:c>
      <x:c r="I40" s="1315" t="str">
        <x:v>是</x:v>
      </x:c>
      <x:c r="J40" s="1316" t="str">
        <x:v>生成上下文绑定明确需求版本</x:v>
      </x:c>
    </x:row>
    <x:row r="41" ht="38" customHeight="1">
      <x:c r="A41" s="1325" t="n">
        <x:v>1</x:v>
      </x:c>
      <x:c r="B41" s="1326" t="str">
        <x:v>多元输入与自然语言生成域</x:v>
      </x:c>
      <x:c r="C41" s="1326" t="str">
        <x:v>DocumentPage</x:v>
      </x:c>
      <x:c r="D41" s="1326" t="str">
        <x:v>document_pages</x:v>
      </x:c>
      <x:c r="E41" s="1326" t="str">
        <x:v>source_document_page_id</x:v>
      </x:c>
      <x:c r="F41" s="1326" t="str">
        <x:v>document_version_id</x:v>
      </x:c>
      <x:c r="G41" s="1326" t="str">
        <x:v>page_no,text_ref,image_ref,checksum</x:v>
      </x:c>
      <x:c r="H41" s="1326" t="str">
        <x:v>document_version_id,page_no</x:v>
      </x:c>
      <x:c r="I41" s="1326" t="str">
        <x:v>否</x:v>
      </x:c>
      <x:c r="J41" s="1327" t="str">
        <x:v>仅分页文档需要</x:v>
      </x:c>
    </x:row>
    <x:row r="42" ht="38" customHeight="1">
      <x:c r="A42" s="1314" t="n">
        <x:v>1</x:v>
      </x:c>
      <x:c r="B42" s="1315" t="str">
        <x:v>多元输入与自然语言生成域</x:v>
      </x:c>
      <x:c r="C42" s="1315" t="str">
        <x:v>Release/Build</x:v>
      </x:c>
      <x:c r="D42" s="1315" t="str">
        <x:v>releases,builds</x:v>
      </x:c>
      <x:c r="E42" s="1315" t="str">
        <x:v>release_id/build_id</x:v>
      </x:c>
      <x:c r="F42" s="1315" t="str">
        <x:v>project_id/release_id</x:v>
      </x:c>
      <x:c r="G42" s="1315" t="str">
        <x:v>name,version,commit_sha,artifact_version,service_versions,status</x:v>
      </x:c>
      <x:c r="H42" s="1315" t="str">
        <x:v>project_id,status,commit_sha</x:v>
      </x:c>
      <x:c r="I42" s="1315" t="str">
        <x:v>是</x:v>
      </x:c>
      <x:c r="J42" s="1316" t="str">
        <x:v>执行报告被测版本</x:v>
      </x:c>
    </x:row>
    <x:row r="43" ht="38" customHeight="1">
      <x:c r="A43" s="1336" t="n">
        <x:v>2</x:v>
      </x:c>
      <x:c r="B43" s="1337" t="str">
        <x:v>自然语言测试资产域</x:v>
      </x:c>
      <x:c r="C43" s="1337" t="str">
        <x:v>RequirementItem/AC/BusinessRule</x:v>
      </x:c>
      <x:c r="D43" s="1337" t="str">
        <x:v>requirement_items,acceptance_criteria,business_rules</x:v>
      </x:c>
      <x:c r="E43" s="1337" t="str">
        <x:v>各自主键</x:v>
      </x:c>
      <x:c r="F43" s="1337" t="str">
        <x:v>requirement_version_id</x:v>
      </x:c>
      <x:c r="G43" s="1337" t="str">
        <x:v>text,order_index,status,source_section_id</x:v>
      </x:c>
      <x:c r="H43" s="1337" t="str">
        <x:v>requirement_version_id,status</x:v>
      </x:c>
      <x:c r="I43" s="1337" t="str">
        <x:v>否</x:v>
      </x:c>
      <x:c r="J43" s="1338" t="str">
        <x:v>覆盖粒度模型</x:v>
      </x:c>
    </x:row>
    <x:row r="44" ht="38" customHeight="1">
      <x:c r="A44" s="1314" t="n">
        <x:v>2</x:v>
      </x:c>
      <x:c r="B44" s="1315" t="str">
        <x:v>自然语言测试资产域</x:v>
      </x:c>
      <x:c r="C44" s="1315" t="str">
        <x:v>CoverageRelation</x:v>
      </x:c>
      <x:c r="D44" s="1315" t="str">
        <x:v>coverage_relations</x:v>
      </x:c>
      <x:c r="E44" s="1315" t="str">
        <x:v>coverage_relation_id</x:v>
      </x:c>
      <x:c r="F44" s="1315" t="str">
        <x:v>requirement_version/item/ac/rule,asset/case</x:v>
      </x:c>
      <x:c r="G44" s="1315" t="str">
        <x:v>coverage_target_type,coverage_type,status,confidence,source</x:v>
      </x:c>
      <x:c r="H44" s="1315" t="str">
        <x:v>requirement对象,asset_id,case_id,status</x:v>
      </x:c>
      <x:c r="I44" s="1315" t="str">
        <x:v>否</x:v>
      </x:c>
      <x:c r="J44" s="1316" t="str">
        <x:v>来源关系与覆盖关系分离</x:v>
      </x:c>
    </x:row>
    <x:row r="45" ht="38" customHeight="1">
      <x:c r="A45" s="1336" t="n">
        <x:v>2</x:v>
      </x:c>
      <x:c r="B45" s="1337" t="str">
        <x:v>自然语言测试资产域</x:v>
      </x:c>
      <x:c r="C45" s="1337" t="str">
        <x:v>AssetQualityAssessment</x:v>
      </x:c>
      <x:c r="D45" s="1337" t="str">
        <x:v>asset_quality_assessments</x:v>
      </x:c>
      <x:c r="E45" s="1337" t="str">
        <x:v>assessment_id</x:v>
      </x:c>
      <x:c r="F45" s="1337" t="str">
        <x:v>asset_version_id,model_run_id</x:v>
      </x:c>
      <x:c r="G45" s="1337" t="str">
        <x:v>clarity,completeness,testability,ambiguity_flags,warnings</x:v>
      </x:c>
      <x:c r="H45" s="1337" t="str">
        <x:v>asset_version_id,status</x:v>
      </x:c>
      <x:c r="I45" s="1337" t="str">
        <x:v>否</x:v>
      </x:c>
      <x:c r="J45" s="1338" t="str">
        <x:v>提示性质量评估</x:v>
      </x:c>
    </x:row>
    <x:row r="46" ht="38" customHeight="1">
      <x:c r="A46" s="1314" t="n">
        <x:v>3</x:v>
      </x:c>
      <x:c r="B46" s="1315" t="str">
        <x:v>Asset-to-Case 转换与统一拦截域</x:v>
      </x:c>
      <x:c r="C46" s="1315" t="str">
        <x:v>ResourceResolutionDecision</x:v>
      </x:c>
      <x:c r="D46" s="1315" t="str">
        <x:v>resource_resolution_decisions</x:v>
      </x:c>
      <x:c r="E46" s="1315" t="str">
        <x:v>resolution_decision_id</x:v>
      </x:c>
      <x:c r="F46" s="1315" t="str">
        <x:v>conversion_attempt_id</x:v>
      </x:c>
      <x:c r="G46" s="1315" t="str">
        <x:v>semantic_role,candidates,selected_resource_id,selected_by,status</x:v>
      </x:c>
      <x:c r="H46" s="1315" t="str">
        <x:v>attempt_id,semantic_role,status</x:v>
      </x:c>
      <x:c r="I46" s="1315" t="str">
        <x:v>是</x:v>
      </x:c>
      <x:c r="J46" s="1316" t="str">
        <x:v>人工解决资源歧义</x:v>
      </x:c>
    </x:row>
    <x:row r="47" ht="38" customHeight="1">
      <x:c r="A47" s="1347" t="n">
        <x:v>3</x:v>
      </x:c>
      <x:c r="B47" s="1348" t="str">
        <x:v>Asset-to-Case 转换与统一拦截域</x:v>
      </x:c>
      <x:c r="C47" s="1348" t="str">
        <x:v>ConversionHashes</x:v>
      </x:c>
      <x:c r="D47" s="1348" t="str">
        <x:v>conversion_attempts/test_case_versions</x:v>
      </x:c>
      <x:c r="E47" s="1348" t="str">
        <x:v>沿用对象主键</x:v>
      </x:c>
      <x:c r="F47" s="1348" t="str">
        <x:v>attempt/case version</x:v>
      </x:c>
      <x:c r="G47" s="1348" t="str">
        <x:v>input_hash,manifest_hash,bound_plan_hash,script_code_hash</x:v>
      </x:c>
      <x:c r="H47" s="1348" t="str">
        <x:v>各hash</x:v>
      </x:c>
      <x:c r="I47" s="1348" t="str">
        <x:v>是</x:v>
      </x:c>
      <x:c r="J47" s="1349" t="str">
        <x:v>复用、重放和完整性校验</x:v>
      </x:c>
    </x:row>
    <x:row r="48" ht="38" customHeight="1">
      <x:c r="A48" s="1314" t="n">
        <x:v>4</x:v>
      </x:c>
      <x:c r="B48" s="1315" t="str">
        <x:v>公共资源与能力域</x:v>
      </x:c>
      <x:c r="C48" s="1315" t="str">
        <x:v>ResourceHealth</x:v>
      </x:c>
      <x:c r="D48" s="1315" t="str">
        <x:v>resource_health_checks</x:v>
      </x:c>
      <x:c r="E48" s="1315" t="str">
        <x:v>health_check_id</x:v>
      </x:c>
      <x:c r="F48" s="1315" t="str">
        <x:v>resource_id,resource_version</x:v>
      </x:c>
      <x:c r="G48" s="1315" t="str">
        <x:v>status,checked_at,error_code,latency,details,last_success_at</x:v>
      </x:c>
      <x:c r="H48" s="1315" t="str">
        <x:v>resource_id,status,checked_at</x:v>
      </x:c>
      <x:c r="I48" s="1315" t="str">
        <x:v>否</x:v>
      </x:c>
      <x:c r="J48" s="1316" t="str">
        <x:v>网关绑定前健康检查</x:v>
      </x:c>
    </x:row>
    <x:row r="49" ht="38" customHeight="1">
      <x:c r="A49" s="1358" t="n">
        <x:v>4</x:v>
      </x:c>
      <x:c r="B49" s="1359" t="str">
        <x:v>公共资源与能力域</x:v>
      </x:c>
      <x:c r="C49" s="1359" t="str">
        <x:v>DataReservation</x:v>
      </x:c>
      <x:c r="D49" s="1359" t="str">
        <x:v>data_reservations</x:v>
      </x:c>
      <x:c r="E49" s="1359" t="str">
        <x:v>data_reservation_id</x:v>
      </x:c>
      <x:c r="F49" s="1359" t="str">
        <x:v>data_profile_id,execution_id</x:v>
      </x:c>
      <x:c r="G49" s="1359" t="str">
        <x:v>status,reserved_at,expires_at,released_at,reservation_key</x:v>
      </x:c>
      <x:c r="H49" s="1359" t="str">
        <x:v>data_profile_id,status,expires_at</x:v>
      </x:c>
      <x:c r="I49" s="1359" t="str">
        <x:v>否</x:v>
      </x:c>
      <x:c r="J49" s="1360" t="str">
        <x:v>独占测试数据</x:v>
      </x:c>
    </x:row>
    <x:row r="50" ht="38" customHeight="1">
      <x:c r="A50" s="1314" t="n">
        <x:v>4</x:v>
      </x:c>
      <x:c r="B50" s="1315" t="str">
        <x:v>公共资源与能力域</x:v>
      </x:c>
      <x:c r="C50" s="1315" t="str">
        <x:v>EnvironmentReservation</x:v>
      </x:c>
      <x:c r="D50" s="1315" t="str">
        <x:v>environment_reservations</x:v>
      </x:c>
      <x:c r="E50" s="1315" t="str">
        <x:v>environment_reservation_id</x:v>
      </x:c>
      <x:c r="F50" s="1315" t="str">
        <x:v>environment_id,execution_job_id/execution_id</x:v>
      </x:c>
      <x:c r="G50" s="1315" t="str">
        <x:v>mode,status,start_at,end_at,capacity_units,lock_key</x:v>
      </x:c>
      <x:c r="H50" s="1315" t="str">
        <x:v>environment_id,status,time window</x:v>
      </x:c>
      <x:c r="I50" s="1315" t="str">
        <x:v>否</x:v>
      </x:c>
      <x:c r="J50" s="1316" t="str">
        <x:v>容量与独占控制</x:v>
      </x:c>
    </x:row>
    <x:row r="51" ht="38" customHeight="1">
      <x:c r="A51" s="1369" t="n">
        <x:v>5</x:v>
      </x:c>
      <x:c r="B51" s="1370" t="str">
        <x:v>测试用例、执行、证据与反馈域</x:v>
      </x:c>
      <x:c r="C51" s="1370" t="str">
        <x:v>TestSuite</x:v>
      </x:c>
      <x:c r="D51" s="1370" t="str">
        <x:v>test_suites,test_suite_cases</x:v>
      </x:c>
      <x:c r="E51" s="1370" t="str">
        <x:v>test_suite_id</x:v>
      </x:c>
      <x:c r="F51" s="1370" t="str">
        <x:v>project_id/case_id</x:v>
      </x:c>
      <x:c r="G51" s="1370" t="str">
        <x:v>name,type,status,version</x:v>
      </x:c>
      <x:c r="H51" s="1370" t="str">
        <x:v>project_id,type,status</x:v>
      </x:c>
      <x:c r="I51" s="1370" t="str">
        <x:v>否</x:v>
      </x:c>
      <x:c r="J51" s="1371" t="str">
        <x:v>冒烟、回归等集合</x:v>
      </x:c>
    </x:row>
    <x:row r="52" ht="38" customHeight="1">
      <x:c r="A52" s="1314" t="n">
        <x:v>5</x:v>
      </x:c>
      <x:c r="B52" s="1315" t="str">
        <x:v>测试用例、执行、证据与反馈域</x:v>
      </x:c>
      <x:c r="C52" s="1315" t="str">
        <x:v>TestPlan/Campaign</x:v>
      </x:c>
      <x:c r="D52" s="1315" t="str">
        <x:v>test_plans,test_campaigns,test_plan_scope</x:v>
      </x:c>
      <x:c r="E52" s="1315" t="str">
        <x:v>test_plan_id/campaign_id</x:v>
      </x:c>
      <x:c r="F52" s="1315" t="str">
        <x:v>project_id,release_id,build_id,environment_id</x:v>
      </x:c>
      <x:c r="G52" s="1315" t="str">
        <x:v>name,objective,status,scope_snapshot,entry_criteria,exit_criteria</x:v>
      </x:c>
      <x:c r="H52" s="1315" t="str">
        <x:v>project_id,status,release_id,build_id</x:v>
      </x:c>
      <x:c r="I52" s="1315" t="str">
        <x:v>否</x:v>
      </x:c>
      <x:c r="J52" s="1316" t="str">
        <x:v>发布和专项测试组织</x:v>
      </x:c>
    </x:row>
    <x:row r="53" ht="38" customHeight="1">
      <x:c r="A53" s="1369" t="n">
        <x:v>5</x:v>
      </x:c>
      <x:c r="B53" s="1370" t="str">
        <x:v>测试用例、执行、证据与反馈域</x:v>
      </x:c>
      <x:c r="C53" s="1370" t="str">
        <x:v>TestPlanExecution</x:v>
      </x:c>
      <x:c r="D53" s="1370" t="str">
        <x:v>test_plan_executions</x:v>
      </x:c>
      <x:c r="E53" s="1370" t="str">
        <x:v>test_plan_execution_id</x:v>
      </x:c>
      <x:c r="F53" s="1370" t="str">
        <x:v>test_plan_id,execution_job_id</x:v>
      </x:c>
      <x:c r="G53" s="1370" t="str">
        <x:v>status,summary,started_at,finished_at</x:v>
      </x:c>
      <x:c r="H53" s="1370" t="str">
        <x:v>test_plan_id,status</x:v>
      </x:c>
      <x:c r="I53" s="1370" t="str">
        <x:v>否</x:v>
      </x:c>
      <x:c r="J53" s="1371" t="str">
        <x:v>计划级结果</x:v>
      </x:c>
    </x:row>
    <x:row r="54" ht="38" customHeight="1">
      <x:c r="A54" s="1314" t="n">
        <x:v>5</x:v>
      </x:c>
      <x:c r="B54" s="1315" t="str">
        <x:v>测试用例、执行、证据与反馈域</x:v>
      </x:c>
      <x:c r="C54" s="1315" t="str">
        <x:v>ExecutionStepResult</x:v>
      </x:c>
      <x:c r="D54" s="1315" t="str">
        <x:v>execution_step_results</x:v>
      </x:c>
      <x:c r="E54" s="1315" t="str">
        <x:v>step_result_id</x:v>
      </x:c>
      <x:c r="F54" s="1315" t="str">
        <x:v>execution_id,evidence_id</x:v>
      </x:c>
      <x:c r="G54" s="1315" t="str">
        <x:v>step_id,attempt_no,action,target_ref,status,timing,error_code,message</x:v>
      </x:c>
      <x:c r="H54" s="1315" t="str">
        <x:v>execution_id,step_id,status</x:v>
      </x:c>
      <x:c r="I54" s="1315" t="str">
        <x:v>是</x:v>
      </x:c>
      <x:c r="J54" s="1316" t="str">
        <x:v>逐步骤执行事实</x:v>
      </x:c>
    </x:row>
    <x:row r="55" ht="38" customHeight="1">
      <x:c r="A55" s="1369" t="n">
        <x:v>5</x:v>
      </x:c>
      <x:c r="B55" s="1370" t="str">
        <x:v>测试用例、执行、证据与反馈域</x:v>
      </x:c>
      <x:c r="C55" s="1370" t="str">
        <x:v>CleanupResult</x:v>
      </x:c>
      <x:c r="D55" s="1370" t="str">
        <x:v>cleanup_results</x:v>
      </x:c>
      <x:c r="E55" s="1370" t="str">
        <x:v>cleanup_result_id</x:v>
      </x:c>
      <x:c r="F55" s="1370" t="str">
        <x:v>execution_id,resource_id</x:v>
      </x:c>
      <x:c r="G55" s="1370" t="str">
        <x:v>action,status,error,verified_at,evidence_id</x:v>
      </x:c>
      <x:c r="H55" s="1370" t="str">
        <x:v>execution_id,status</x:v>
      </x:c>
      <x:c r="I55" s="1370" t="str">
        <x:v>是</x:v>
      </x:c>
      <x:c r="J55" s="1371" t="str">
        <x:v>环境恢复事实</x:v>
      </x:c>
    </x:row>
    <x:row r="56" ht="38" customHeight="1">
      <x:c r="A56" s="1314" t="n">
        <x:v>5</x:v>
      </x:c>
      <x:c r="B56" s="1315" t="str">
        <x:v>测试用例、执行、证据与反馈域</x:v>
      </x:c>
      <x:c r="C56" s="1315" t="str">
        <x:v>ManualExecutionResult</x:v>
      </x:c>
      <x:c r="D56" s="1315" t="str">
        <x:v>manual_execution_results</x:v>
      </x:c>
      <x:c r="E56" s="1315" t="str">
        <x:v>manual_execution_result_id</x:v>
      </x:c>
      <x:c r="F56" s="1315" t="str">
        <x:v>execution_id,user_id</x:v>
      </x:c>
      <x:c r="G56" s="1315" t="str">
        <x:v>result,comment,executed_at,evidence_refs</x:v>
      </x:c>
      <x:c r="H56" s="1315" t="str">
        <x:v>execution_id,result</x:v>
      </x:c>
      <x:c r="I56" s="1315" t="str">
        <x:v>否</x:v>
      </x:c>
      <x:c r="J56" s="1316" t="str">
        <x:v>手工/混合执行</x:v>
      </x:c>
    </x:row>
    <x:row r="57" ht="38" customHeight="1">
      <x:c r="A57" s="1369" t="n">
        <x:v>5</x:v>
      </x:c>
      <x:c r="B57" s="1370" t="str">
        <x:v>测试用例、执行、证据与反馈域</x:v>
      </x:c>
      <x:c r="C57" s="1370" t="str">
        <x:v>Flaky/Quarantine</x:v>
      </x:c>
      <x:c r="D57" s="1370" t="str">
        <x:v>flaky_profiles,quarantine_records</x:v>
      </x:c>
      <x:c r="E57" s="1370" t="str">
        <x:v>flaky_profile_id/quarantine_record_id</x:v>
      </x:c>
      <x:c r="F57" s="1370" t="str">
        <x:v>test_case_id,test_case_version_id</x:v>
      </x:c>
      <x:c r="G57" s="1370" t="str">
        <x:v>score,status,window,retry_passed,reason,owner,released_at</x:v>
      </x:c>
      <x:c r="H57" s="1370" t="str">
        <x:v>case_id,status</x:v>
      </x:c>
      <x:c r="I57" s="1370" t="str">
        <x:v>否</x:v>
      </x:c>
      <x:c r="J57" s="1371" t="str">
        <x:v>不稳定用例治理</x:v>
      </x:c>
    </x:row>
    <x:row r="58" ht="38" customHeight="1">
      <x:c r="A58" s="1314" t="n">
        <x:v>6</x:v>
      </x:c>
      <x:c r="B58" s="1315" t="str">
        <x:v>平台控制面</x:v>
      </x:c>
      <x:c r="C58" s="1315" t="str">
        <x:v>AI Evaluation</x:v>
      </x:c>
      <x:c r="D58" s="1315" t="str">
        <x:v>ai_evaluation_datasets,ai_evaluation_runs,ai_evaluation_results</x:v>
      </x:c>
      <x:c r="E58" s="1315" t="str">
        <x:v>dataset_id/run_id/result_id</x:v>
      </x:c>
      <x:c r="F58" s="1315" t="str">
        <x:v>model/prompt versions</x:v>
      </x:c>
      <x:c r="G58" s="1315" t="str">
        <x:v>metric_name,score,baseline_delta,sample_count,details</x:v>
      </x:c>
      <x:c r="H58" s="1315" t="str">
        <x:v>run_id,metric_name</x:v>
      </x:c>
      <x:c r="I58" s="1315" t="str">
        <x:v>否</x:v>
      </x:c>
      <x:c r="J58" s="1316" t="str">
        <x:v>AI发布前效果回归</x:v>
      </x:c>
    </x:row>
    <x:row r="59" ht="38" customHeight="1">
      <x:c r="A59" s="1380" t="n">
        <x:v>6</x:v>
      </x:c>
      <x:c r="B59" s="1381" t="str">
        <x:v>平台控制面</x:v>
      </x:c>
      <x:c r="C59" s="1381" t="str">
        <x:v>Retention/Data Catalog</x:v>
      </x:c>
      <x:c r="D59" s="1381" t="str">
        <x:v>data_catalog,retention_policies,legal_holds</x:v>
      </x:c>
      <x:c r="E59" s="1381" t="str">
        <x:v>各自主键</x:v>
      </x:c>
      <x:c r="F59" s="1381" t="str">
        <x:v>entity_type/project_id</x:v>
      </x:c>
      <x:c r="G59" s="1381" t="str">
        <x:v>classification,retention_days,deletion_mode,masking_policy,hold_status</x:v>
      </x:c>
      <x:c r="H59" s="1381" t="str">
        <x:v>entity_type,classification,status</x:v>
      </x:c>
      <x:c r="I59" s="1381" t="str">
        <x:v>否</x:v>
      </x:c>
      <x:c r="J59" s="1382" t="str">
        <x:v>安全与数据生命周期</x:v>
      </x:c>
    </x:row>
    <x:row r="60" ht="38" customHeight="1">
      <x:c r="A60" s="1314" t="n">
        <x:v>7</x:v>
      </x:c>
      <x:c r="B60" s="1315" t="str">
        <x:v>技术基础设施域</x:v>
      </x:c>
      <x:c r="C60" s="1315" t="str">
        <x:v>Migration</x:v>
      </x:c>
      <x:c r="D60" s="1315" t="str">
        <x:v>migration_runs,legacy_mappings,migration_validations</x:v>
      </x:c>
      <x:c r="E60" s="1315" t="str">
        <x:v>migration_run_id/mapping_id</x:v>
      </x:c>
      <x:c r="F60" s="1315" t="str">
        <x:v>source/target entity IDs</x:v>
      </x:c>
      <x:c r="G60" s="1315" t="str">
        <x:v>status,counts,checksum,error,verified_at,rollback_ref</x:v>
      </x:c>
      <x:c r="H60" s="1315" t="str">
        <x:v>run_id,status,legacy_id</x:v>
      </x:c>
      <x:c r="I60" s="1315" t="str">
        <x:v>是</x:v>
      </x:c>
      <x:c r="J60" s="1316" t="str">
        <x:v>旧平台切流和历史追踪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d415a417ecd441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8" hidden="0" customWidth="1"/>
    <x:col min="5" max="5" width="32" hidden="0" customWidth="1"/>
    <x:col min="6" max="6" width="32" hidden="0" customWidth="1"/>
    <x:col min="7" max="7" width="28" hidden="0" customWidth="1"/>
    <x:col min="8" max="8" width="40" hidden="0" customWidth="1"/>
    <x:col min="9" max="9" width="12" hidden="0" customWidth="1"/>
    <x:col min="10" max="10" width="38" hidden="0" customWidth="1"/>
  </x:cols>
  <x:sheetData>
    <x:row r="1" ht="34" customHeight="1">
      <x:c r="A1" s="1401" t="str">
        <x:v>需求版本、验收标准与覆盖模型</x:v>
      </x:c>
      <x:c r="B1" s="1402"/>
      <x:c r="C1" s="1402"/>
      <x:c r="D1" s="1402"/>
      <x:c r="E1" s="1402"/>
      <x:c r="F1" s="1402"/>
      <x:c r="G1" s="1402"/>
      <x:c r="H1" s="1402"/>
      <x:c r="I1" s="1402"/>
      <x:c r="J1" s="1403"/>
    </x:row>
    <x:row r="3" ht="36" customHeight="1">
      <x:c r="A3" s="1408" t="str">
        <x:v>对象</x:v>
      </x:c>
      <x:c r="B3" s="1408" t="str">
        <x:v>字段/ID</x:v>
      </x:c>
      <x:c r="C3" s="1413" t="str">
        <x:v>职责</x:v>
      </x:c>
      <x:c r="D3" s="1413" t="str">
        <x:v>来源</x:v>
      </x:c>
      <x:c r="E3" s="1418" t="str">
        <x:v>与资产关系</x:v>
      </x:c>
      <x:c r="F3" s="1418" t="str">
        <x:v>与用例关系</x:v>
      </x:c>
      <x:c r="G3" s="1423" t="str">
        <x:v>状态/枚举</x:v>
      </x:c>
      <x:c r="H3" s="1423" t="str">
        <x:v>计算规则</x:v>
      </x:c>
      <x:c r="I3" s="1428" t="str">
        <x:v>V1范围</x:v>
      </x:c>
      <x:c r="J3" s="1428" t="str">
        <x:v>验收标准</x:v>
      </x:c>
    </x:row>
    <x:row r="4" ht="42" customHeight="1">
      <x:c r="A4" s="1314" t="str">
        <x:v>RequirementVersion</x:v>
      </x:c>
      <x:c r="B4" s="1315" t="str">
        <x:v>requirement_version_id</x:v>
      </x:c>
      <x:c r="C4" s="1315" t="str">
        <x:v>冻结一次需求内容版本</x:v>
      </x:c>
      <x:c r="D4" s="1315" t="str">
        <x:v>需求编辑/外部同步</x:v>
      </x:c>
      <x:c r="E4" s="1315" t="str">
        <x:v>TestAssetSource绑定该版本</x:v>
      </x:c>
      <x:c r="F4" s="1315" t="str">
        <x:v>TestCase经AssetVersion间接追溯</x:v>
      </x:c>
      <x:c r="G4" s="1315" t="str">
        <x:v>draft/effective/superseded</x:v>
      </x:c>
      <x:c r="H4" s="1315" t="str">
        <x:v>只有effective可创建GenerationContext</x:v>
      </x:c>
      <x:c r="I4" s="1315" t="str">
        <x:v>是</x:v>
      </x:c>
      <x:c r="J4" s="1316" t="str">
        <x:v>任意资产可追溯到明确需求版本</x:v>
      </x:c>
    </x:row>
    <x:row r="5" ht="42" customHeight="1">
      <x:c r="A5" s="1325" t="str">
        <x:v>RequirementItem</x:v>
      </x:c>
      <x:c r="B5" s="1326" t="str">
        <x:v>requirement_item_id</x:v>
      </x:c>
      <x:c r="C5" s="1326" t="str">
        <x:v>拆分可测试需求条目</x:v>
      </x:c>
      <x:c r="D5" s="1326" t="str">
        <x:v>文档章节/人工拆分</x:v>
      </x:c>
      <x:c r="E5" s="1326" t="str">
        <x:v>可被多条资产覆盖</x:v>
      </x:c>
      <x:c r="F5" s="1326" t="str">
        <x:v>可被多条用例覆盖</x:v>
      </x:c>
      <x:c r="G5" s="1326" t="str">
        <x:v>active/removed</x:v>
      </x:c>
      <x:c r="H5" s="1326" t="str">
        <x:v>按需求版本维护</x:v>
      </x:c>
      <x:c r="I5" s="1326" t="str">
        <x:v>否</x:v>
      </x:c>
      <x:c r="J5" s="1327" t="str">
        <x:v>能区分一个需求中的不同业务点</x:v>
      </x:c>
    </x:row>
    <x:row r="6" ht="42" customHeight="1">
      <x:c r="A6" s="1336" t="str">
        <x:v>AcceptanceCriterion</x:v>
      </x:c>
      <x:c r="B6" s="1337" t="str">
        <x:v>acceptance_criterion_id</x:v>
      </x:c>
      <x:c r="C6" s="1337" t="str">
        <x:v>表示验收标准</x:v>
      </x:c>
      <x:c r="D6" s="1337" t="str">
        <x:v>需求正文/人工确认</x:v>
      </x:c>
      <x:c r="E6" s="1337" t="str">
        <x:v>资产可声明覆盖类型</x:v>
      </x:c>
      <x:c r="F6" s="1337" t="str">
        <x:v>用例可作为自动化证据</x:v>
      </x:c>
      <x:c r="G6" s="1337" t="str">
        <x:v>draft/confirmed/removed</x:v>
      </x:c>
      <x:c r="H6" s="1337" t="str">
        <x:v>confirmed才进入正式覆盖率</x:v>
      </x:c>
      <x:c r="I6" s="1337" t="str">
        <x:v>否</x:v>
      </x:c>
      <x:c r="J6" s="1338" t="str">
        <x:v>能查询未覆盖验收标准</x:v>
      </x:c>
    </x:row>
    <x:row r="7" ht="42" customHeight="1">
      <x:c r="A7" s="1347" t="str">
        <x:v>BusinessRule</x:v>
      </x:c>
      <x:c r="B7" s="1348" t="str">
        <x:v>business_rule_id</x:v>
      </x:c>
      <x:c r="C7" s="1348" t="str">
        <x:v>保存业务规则和约束</x:v>
      </x:c>
      <x:c r="D7" s="1348" t="str">
        <x:v>需求正文/业务维护</x:v>
      </x:c>
      <x:c r="E7" s="1348" t="str">
        <x:v>多资产可交叉覆盖</x:v>
      </x:c>
      <x:c r="F7" s="1348" t="str">
        <x:v>用例可验证规则</x:v>
      </x:c>
      <x:c r="G7" s="1348" t="str">
        <x:v>active/retired</x:v>
      </x:c>
      <x:c r="H7" s="1348" t="str">
        <x:v>规则变化触发相关覆盖重算</x:v>
      </x:c>
      <x:c r="I7" s="1348" t="str">
        <x:v>否</x:v>
      </x:c>
      <x:c r="J7" s="1349" t="str">
        <x:v>规则变更可识别受影响资产/用例</x:v>
      </x:c>
    </x:row>
    <x:row r="8" ht="42" customHeight="1">
      <x:c r="A8" s="1358" t="str">
        <x:v>CoverageRelation</x:v>
      </x:c>
      <x:c r="B8" s="1359" t="str">
        <x:v>coverage_relation_id</x:v>
      </x:c>
      <x:c r="C8" s="1359" t="str">
        <x:v>连接需求对象与资产/用例</x:v>
      </x:c>
      <x:c r="D8" s="1359" t="str">
        <x:v>自动分析+人工确认</x:v>
      </x:c>
      <x:c r="E8" s="1359" t="str">
        <x:v>target_type=test_asset</x:v>
      </x:c>
      <x:c r="F8" s="1359" t="str">
        <x:v>target_type=test_case</x:v>
      </x:c>
      <x:c r="G8" s="1359" t="str">
        <x:v>uncovered/partial/covered/not_applicable</x:v>
      </x:c>
      <x:c r="H8" s="1359" t="str">
        <x:v>来源关系不自动等于covered</x:v>
      </x:c>
      <x:c r="I8" s="1359" t="str">
        <x:v>否</x:v>
      </x:c>
      <x:c r="J8" s="1360" t="str">
        <x:v>覆盖关系有证据和来源</x:v>
      </x:c>
    </x:row>
    <x:row r="9" ht="42" customHeight="1">
      <x:c r="A9" s="1369" t="str">
        <x:v>CoverageType</x:v>
      </x:c>
      <x:c r="B9" s="1370" t="str">
        <x:v>coverage_type</x:v>
      </x:c>
      <x:c r="C9" s="1370" t="str">
        <x:v>描述覆盖维度</x:v>
      </x:c>
      <x:c r="D9" s="1370" t="str">
        <x:v>规则定义</x:v>
      </x:c>
      <x:c r="E9" s="1370" t="str">
        <x:v>positive/negative/boundary/security/performance</x:v>
      </x:c>
      <x:c r="F9" s="1370" t="str">
        <x:v>同左</x:v>
      </x:c>
      <x:c r="G9" s="1370" t="str">
        <x:v>枚举集合</x:v>
      </x:c>
      <x:c r="H9" s="1370" t="str">
        <x:v>同一需求对象可有多维覆盖</x:v>
      </x:c>
      <x:c r="I9" s="1370" t="str">
        <x:v>否</x:v>
      </x:c>
      <x:c r="J9" s="1371" t="str">
        <x:v>可查看某验收标准缺少哪类场景</x:v>
      </x:c>
    </x:row>
    <x:row r="10" ht="42" customHeight="1">
      <x:c r="A10" s="1380" t="str">
        <x:v>CoverageSnapshot</x:v>
      </x:c>
      <x:c r="B10" s="1381" t="str">
        <x:v>coverage_snapshot_id</x:v>
      </x:c>
      <x:c r="C10" s="1381" t="str">
        <x:v>记录某一需求版本在时间点的覆盖统计</x:v>
      </x:c>
      <x:c r="D10" s="1381" t="str">
        <x:v>定时/发布计划</x:v>
      </x:c>
      <x:c r="E10" s="1381" t="str">
        <x:v>统计资产覆盖</x:v>
      </x:c>
      <x:c r="F10" s="1381" t="str">
        <x:v>统计可执行用例和执行覆盖</x:v>
      </x:c>
      <x:c r="G10" s="1381" t="str">
        <x:v>generated</x:v>
      </x:c>
      <x:c r="H10" s="1381" t="str">
        <x:v>按requirement_version/build计算</x:v>
      </x:c>
      <x:c r="I10" s="1381" t="str">
        <x:v>否</x:v>
      </x:c>
      <x:c r="J10" s="1382" t="str">
        <x:v>发布测试可冻结覆盖快照</x:v>
      </x:c>
    </x:row>
    <x:row r="11" ht="42" customHeight="1">
      <x:c r="A11" s="1391" t="str">
        <x:v>CoverageMetric</x:v>
      </x:c>
      <x:c r="B11" s="1392" t="str">
        <x:v>asset_coverage_rate</x:v>
      </x:c>
      <x:c r="C11" s="1392" t="str">
        <x:v>有资产覆盖的需求对象比例</x:v>
      </x:c>
      <x:c r="D11" s="1392" t="str">
        <x:v>CoverageRelation</x:v>
      </x:c>
      <x:c r="E11" s="1392" t="str">
        <x:v>统计TestAsset</x:v>
      </x:c>
      <x:c r="F11" s="1392" t="str">
        <x:v>不要求可执行</x:v>
      </x:c>
      <x:c r="G11" s="1392" t="str">
        <x:v>0-100%</x:v>
      </x:c>
      <x:c r="H11" s="1392" t="str">
        <x:v>covered对象数/适用对象数</x:v>
      </x:c>
      <x:c r="I11" s="1392" t="str">
        <x:v>是</x:v>
      </x:c>
      <x:c r="J11" s="1393" t="str">
        <x:v>能够展示需求到资产漏斗</x:v>
      </x:c>
    </x:row>
    <x:row r="12" ht="42" customHeight="1">
      <x:c r="A12" s="1314" t="str">
        <x:v>CoverageMetric</x:v>
      </x:c>
      <x:c r="B12" s="1315" t="str">
        <x:v>automation_coverage_rate</x:v>
      </x:c>
      <x:c r="C12" s="1315" t="str">
        <x:v>已有ready TestCase的需求对象比例</x:v>
      </x:c>
      <x:c r="D12" s="1315" t="str">
        <x:v>TestCase/Asset</x:v>
      </x:c>
      <x:c r="E12" s="1315" t="str">
        <x:v>经资产关联</x:v>
      </x:c>
      <x:c r="F12" s="1315" t="str">
        <x:v>统计ready用例</x:v>
      </x:c>
      <x:c r="G12" s="1315" t="str">
        <x:v>0-100%</x:v>
      </x:c>
      <x:c r="H12" s="1315" t="str">
        <x:v>ready自动化覆盖/适用对象</x:v>
      </x:c>
      <x:c r="I12" s="1315" t="str">
        <x:v>否</x:v>
      </x:c>
      <x:c r="J12" s="1316" t="str">
        <x:v>区分测试设计覆盖与自动化覆盖</x:v>
      </x:c>
    </x:row>
    <x:row r="13" ht="42" customHeight="1">
      <x:c r="A13" s="1325" t="str">
        <x:v>CoverageMetric</x:v>
      </x:c>
      <x:c r="B13" s="1326" t="str">
        <x:v>execution_coverage_rate</x:v>
      </x:c>
      <x:c r="C13" s="1326" t="str">
        <x:v>目标Build上已执行用例的需求对象比例</x:v>
      </x:c>
      <x:c r="D13" s="1326" t="str">
        <x:v>Execution/TestPlan</x:v>
      </x:c>
      <x:c r="E13" s="1326" t="str">
        <x:v>经用例和资产关联</x:v>
      </x:c>
      <x:c r="F13" s="1326" t="str">
        <x:v>统计目标Build执行</x:v>
      </x:c>
      <x:c r="G13" s="1326" t="str">
        <x:v>0-100%</x:v>
      </x:c>
      <x:c r="H13" s="1326" t="str">
        <x:v>有执行记录的覆盖对象/适用对象</x:v>
      </x:c>
      <x:c r="I13" s="1326" t="str">
        <x:v>否</x:v>
      </x:c>
      <x:c r="J13" s="1327" t="str">
        <x:v>发布报告能看到实际执行覆盖</x:v>
      </x:c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34" hidden="0" customWidth="1"/>
    <x:col min="4" max="4" width="46" hidden="0" customWidth="1"/>
    <x:col min="5" max="5" width="26" hidden="0" customWidth="1"/>
    <x:col min="6" max="6" width="28" hidden="0" customWidth="1"/>
    <x:col min="7" max="7" width="32" hidden="0" customWidth="1"/>
    <x:col min="8" max="8" width="12" hidden="0" customWidth="1"/>
    <x:col min="9" max="9" width="40" hidden="0" customWidth="1"/>
    <x:col min="10" max="10" width="38" hidden="0" customWidth="1"/>
  </x:cols>
  <x:sheetData>
    <x:row r="1" ht="34" customHeight="1">
      <x:c r="A1" s="1436" t="str">
        <x:v>发布、构建、测试套件与测试计划</x:v>
      </x:c>
      <x:c r="B1" s="1437"/>
      <x:c r="C1" s="1437"/>
      <x:c r="D1" s="1437"/>
      <x:c r="E1" s="1437"/>
      <x:c r="F1" s="1437"/>
      <x:c r="G1" s="1437"/>
      <x:c r="H1" s="1437"/>
      <x:c r="I1" s="1437"/>
      <x:c r="J1" s="1438"/>
    </x:row>
    <x:row r="3" ht="36" customHeight="1">
      <x:c r="A3" s="1408" t="str">
        <x:v>实体</x:v>
      </x:c>
      <x:c r="B3" s="1408" t="str">
        <x:v>核心ID</x:v>
      </x:c>
      <x:c r="C3" s="1413" t="str">
        <x:v>用途</x:v>
      </x:c>
      <x:c r="D3" s="1413" t="str">
        <x:v>关键字段</x:v>
      </x:c>
      <x:c r="E3" s="1418" t="str">
        <x:v>上游</x:v>
      </x:c>
      <x:c r="F3" s="1418" t="str">
        <x:v>下游</x:v>
      </x:c>
      <x:c r="G3" s="1423" t="str">
        <x:v>状态</x:v>
      </x:c>
      <x:c r="H3" s="1423" t="str">
        <x:v>是否V1</x:v>
      </x:c>
      <x:c r="I3" s="1428" t="str">
        <x:v>关键约束</x:v>
      </x:c>
      <x:c r="J3" s="1428" t="str">
        <x:v>验收场景</x:v>
      </x:c>
    </x:row>
    <x:row r="4" ht="44" customHeight="1">
      <x:c r="A4" s="1314" t="str">
        <x:v>Release</x:v>
      </x:c>
      <x:c r="B4" s="1315" t="str">
        <x:v>release_id</x:v>
      </x:c>
      <x:c r="C4" s="1315" t="str">
        <x:v>组织一次发布验证范围</x:v>
      </x:c>
      <x:c r="D4" s="1315" t="str">
        <x:v>name,version,target_date,status</x:v>
      </x:c>
      <x:c r="E4" s="1315" t="str">
        <x:v>项目/发布系统</x:v>
      </x:c>
      <x:c r="F4" s="1315" t="str">
        <x:v>Build/TestCampaign/TestPlan</x:v>
      </x:c>
      <x:c r="G4" s="1315" t="str">
        <x:v>planned/testing/released/closed</x:v>
      </x:c>
      <x:c r="H4" s="1315" t="str">
        <x:v>否</x:v>
      </x:c>
      <x:c r="I4" s="1315" t="str">
        <x:v>与Build分离</x:v>
      </x:c>
      <x:c r="J4" s="1316" t="str">
        <x:v>可查询某发布的全部测试活动</x:v>
      </x:c>
    </x:row>
    <x:row r="5" ht="44" customHeight="1">
      <x:c r="A5" s="1325" t="str">
        <x:v>Build</x:v>
      </x:c>
      <x:c r="B5" s="1326" t="str">
        <x:v>build_id</x:v>
      </x:c>
      <x:c r="C5" s="1326" t="str">
        <x:v>标识具体被测构建</x:v>
      </x:c>
      <x:c r="D5" s="1326" t="str">
        <x:v>build_no,commit_sha,artifact_version,service_versions,deployment_id</x:v>
      </x:c>
      <x:c r="E5" s="1326" t="str">
        <x:v>CI/CD</x:v>
      </x:c>
      <x:c r="F5" s="1326" t="str">
        <x:v>TestPlan/Execution/Report</x:v>
      </x:c>
      <x:c r="G5" s="1326" t="str">
        <x:v>created/deployed/verified/rejected</x:v>
      </x:c>
      <x:c r="H5" s="1326" t="str">
        <x:v>是</x:v>
      </x:c>
      <x:c r="I5" s="1326" t="str">
        <x:v>报告必须绑定Build</x:v>
      </x:c>
      <x:c r="J5" s="1327" t="str">
        <x:v>同一环境不同Build可区分</x:v>
      </x:c>
    </x:row>
    <x:row r="6" ht="44" customHeight="1">
      <x:c r="A6" s="1336" t="str">
        <x:v>TestSuite</x:v>
      </x:c>
      <x:c r="B6" s="1337" t="str">
        <x:v>test_suite_id</x:v>
      </x:c>
      <x:c r="C6" s="1337" t="str">
        <x:v>组织冒烟、回归、核心链路等用例集合</x:v>
      </x:c>
      <x:c r="D6" s="1337" t="str">
        <x:v>name,type,version,status</x:v>
      </x:c>
      <x:c r="E6" s="1337" t="str">
        <x:v>TestCase</x:v>
      </x:c>
      <x:c r="F6" s="1337" t="str">
        <x:v>TestPlan</x:v>
      </x:c>
      <x:c r="G6" s="1337" t="str">
        <x:v>draft/active/archived</x:v>
      </x:c>
      <x:c r="H6" s="1337" t="str">
        <x:v>否</x:v>
      </x:c>
      <x:c r="I6" s="1337" t="str">
        <x:v>不复制TestCase内容</x:v>
      </x:c>
      <x:c r="J6" s="1338" t="str">
        <x:v>可创建核心回归套件</x:v>
      </x:c>
    </x:row>
    <x:row r="7" ht="44" customHeight="1">
      <x:c r="A7" s="1347" t="str">
        <x:v>TestSuiteCaseRelation</x:v>
      </x:c>
      <x:c r="B7" s="1348" t="str">
        <x:v>suite_case_relation_id</x:v>
      </x:c>
      <x:c r="C7" s="1348" t="str">
        <x:v>维护套件和用例关系</x:v>
      </x:c>
      <x:c r="D7" s="1348" t="str">
        <x:v>suite_id,case_id,case_version_policy,order,enabled</x:v>
      </x:c>
      <x:c r="E7" s="1348" t="str">
        <x:v>Suite/Case</x:v>
      </x:c>
      <x:c r="F7" s="1348" t="str">
        <x:v>Plan scope</x:v>
      </x:c>
      <x:c r="G7" s="1348" t="str">
        <x:v>active/disabled</x:v>
      </x:c>
      <x:c r="H7" s="1348" t="str">
        <x:v>否</x:v>
      </x:c>
      <x:c r="I7" s="1348" t="str">
        <x:v>定义使用最新或固定用例版本</x:v>
      </x:c>
      <x:c r="J7" s="1349" t="str">
        <x:v>套件更新不会破坏历史计划快照</x:v>
      </x:c>
    </x:row>
    <x:row r="8" ht="44" customHeight="1">
      <x:c r="A8" s="1358" t="str">
        <x:v>TestCampaign</x:v>
      </x:c>
      <x:c r="B8" s="1359" t="str">
        <x:v>test_campaign_id</x:v>
      </x:c>
      <x:c r="C8" s="1359" t="str">
        <x:v>管理跨计划的发布或专项活动</x:v>
      </x:c>
      <x:c r="D8" s="1359" t="str">
        <x:v>name,release_id,objective,owner,status</x:v>
      </x:c>
      <x:c r="E8" s="1359" t="str">
        <x:v>Release</x:v>
      </x:c>
      <x:c r="F8" s="1359" t="str">
        <x:v>TestPlan/summary</x:v>
      </x:c>
      <x:c r="G8" s="1359" t="str">
        <x:v>planned/active/completed/cancelled</x:v>
      </x:c>
      <x:c r="H8" s="1359" t="str">
        <x:v>否</x:v>
      </x:c>
      <x:c r="I8" s="1359" t="str">
        <x:v>可跨环境和测试类型</x:v>
      </x:c>
      <x:c r="J8" s="1360" t="str">
        <x:v>一个发布包含功能、安全、性能计划</x:v>
      </x:c>
    </x:row>
    <x:row r="9" ht="44" customHeight="1">
      <x:c r="A9" s="1369" t="str">
        <x:v>TestPlan</x:v>
      </x:c>
      <x:c r="B9" s="1370" t="str">
        <x:v>test_plan_id</x:v>
      </x:c>
      <x:c r="C9" s="1370" t="str">
        <x:v>定义目标Build、环境、范围、准入/退出标准</x:v>
      </x:c>
      <x:c r="D9" s="1370" t="str">
        <x:v>release_id,build_id,environment_ids,entry_criteria,exit_criteria,status</x:v>
      </x:c>
      <x:c r="E9" s="1370" t="str">
        <x:v>Campaign/Suite/Case</x:v>
      </x:c>
      <x:c r="F9" s="1370" t="str">
        <x:v>PlanExecution</x:v>
      </x:c>
      <x:c r="G9" s="1370" t="str">
        <x:v>draft/ready/running/completed/closed</x:v>
      </x:c>
      <x:c r="H9" s="1370" t="str">
        <x:v>否</x:v>
      </x:c>
      <x:c r="I9" s="1370" t="str">
        <x:v>执行前冻结scope_snapshot</x:v>
      </x:c>
      <x:c r="J9" s="1371" t="str">
        <x:v>计划能复现当时用例范围</x:v>
      </x:c>
    </x:row>
    <x:row r="10" ht="44" customHeight="1">
      <x:c r="A10" s="1380" t="str">
        <x:v>TestPlanScope</x:v>
      </x:c>
      <x:c r="B10" s="1381" t="str">
        <x:v>test_plan_scope_id</x:v>
      </x:c>
      <x:c r="C10" s="1381" t="str">
        <x:v>保存计划用例/资产范围快照</x:v>
      </x:c>
      <x:c r="D10" s="1381" t="str">
        <x:v>plan_id,target_type,target_id,target_version</x:v>
      </x:c>
      <x:c r="E10" s="1381" t="str">
        <x:v>Suite/Case/Asset</x:v>
      </x:c>
      <x:c r="F10" s="1381" t="str">
        <x:v>ExecutionJob</x:v>
      </x:c>
      <x:c r="G10" s="1381" t="str">
        <x:v>frozen</x:v>
      </x:c>
      <x:c r="H10" s="1381" t="str">
        <x:v>否</x:v>
      </x:c>
      <x:c r="I10" s="1381" t="str">
        <x:v>不依赖后续套件变化</x:v>
      </x:c>
      <x:c r="J10" s="1382" t="str">
        <x:v>历史计划结果稳定</x:v>
      </x:c>
    </x:row>
    <x:row r="11" ht="44" customHeight="1">
      <x:c r="A11" s="1391" t="str">
        <x:v>TestPlanExecution</x:v>
      </x:c>
      <x:c r="B11" s="1392" t="str">
        <x:v>test_plan_execution_id</x:v>
      </x:c>
      <x:c r="C11" s="1392" t="str">
        <x:v>记录一次计划运行</x:v>
      </x:c>
      <x:c r="D11" s="1392" t="str">
        <x:v>plan_id,job_id,build_id,environment_id,summary,status</x:v>
      </x:c>
      <x:c r="E11" s="1392" t="str">
        <x:v>TestPlan</x:v>
      </x:c>
      <x:c r="F11" s="1392" t="str">
        <x:v>Execution/Report</x:v>
      </x:c>
      <x:c r="G11" s="1392" t="str">
        <x:v>queued/running/completed/blocked/cancelled</x:v>
      </x:c>
      <x:c r="H11" s="1392" t="str">
        <x:v>否</x:v>
      </x:c>
      <x:c r="I11" s="1392" t="str">
        <x:v>计划可重复执行</x:v>
      </x:c>
      <x:c r="J11" s="1393" t="str">
        <x:v>同一计划多次运行可比较</x:v>
      </x:c>
    </x:row>
    <x:row r="12" ht="44" customHeight="1">
      <x:c r="A12" s="1314" t="str">
        <x:v>EntryCriteria</x:v>
      </x:c>
      <x:c r="B12" s="1315" t="str">
        <x:v>entry_criteria</x:v>
      </x:c>
      <x:c r="C12" s="1315" t="str">
        <x:v>执行前准入条件</x:v>
      </x:c>
      <x:c r="D12" s="1315" t="str">
        <x:v>Build部署成功、环境健康、数据可用、阻塞缺陷数</x:v>
      </x:c>
      <x:c r="E12" s="1315" t="str">
        <x:v>Build/Environment/Defect</x:v>
      </x:c>
      <x:c r="F12" s="1315" t="str">
        <x:v>PlanExecution</x:v>
      </x:c>
      <x:c r="G12" s="1315" t="str">
        <x:v>pass/fail/waived</x:v>
      </x:c>
      <x:c r="H12" s="1315" t="str">
        <x:v>否</x:v>
      </x:c>
      <x:c r="I12" s="1315" t="str">
        <x:v>豁免需审计</x:v>
      </x:c>
      <x:c r="J12" s="1316" t="str">
        <x:v>不满足条件时计划blocked</x:v>
      </x:c>
    </x:row>
    <x:row r="13" ht="44" customHeight="1">
      <x:c r="A13" s="1325" t="str">
        <x:v>ExitCriteria</x:v>
      </x:c>
      <x:c r="B13" s="1326" t="str">
        <x:v>exit_criteria</x:v>
      </x:c>
      <x:c r="C13" s="1326" t="str">
        <x:v>测试完成判定</x:v>
      </x:c>
      <x:c r="D13" s="1326" t="str">
        <x:v>通过率、P0缺陷、覆盖率、关键用例结果</x:v>
      </x:c>
      <x:c r="E13" s="1326" t="str">
        <x:v>Execution/Coverage/Defect</x:v>
      </x:c>
      <x:c r="F13" s="1326" t="str">
        <x:v>Plan status</x:v>
      </x:c>
      <x:c r="G13" s="1326" t="str">
        <x:v>met/not_met/waived</x:v>
      </x:c>
      <x:c r="H13" s="1326" t="str">
        <x:v>否</x:v>
      </x:c>
      <x:c r="I13" s="1326" t="str">
        <x:v>自动计算+人工确认</x:v>
      </x:c>
      <x:c r="J13" s="1327" t="str">
        <x:v>发布计划有明确退出标准</x:v>
      </x:c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28" hidden="0" customWidth="1"/>
    <x:col min="4" max="4" width="26" hidden="0" customWidth="1"/>
    <x:col min="5" max="5" width="46" hidden="0" customWidth="1"/>
    <x:col min="6" max="6" width="40" hidden="0" customWidth="1"/>
    <x:col min="7" max="7" width="34" hidden="0" customWidth="1"/>
    <x:col min="8" max="8" width="36" hidden="0" customWidth="1"/>
    <x:col min="9" max="9" width="12" hidden="0" customWidth="1"/>
    <x:col min="10" max="10" width="40" hidden="0" customWidth="1"/>
  </x:cols>
  <x:sheetData>
    <x:row r="1" ht="34" customHeight="1">
      <x:c r="A1" s="1446" t="str">
        <x:v>测试数据、环境与高风险资源预占</x:v>
      </x:c>
      <x:c r="B1" s="1447"/>
      <x:c r="C1" s="1447"/>
      <x:c r="D1" s="1447"/>
      <x:c r="E1" s="1447"/>
      <x:c r="F1" s="1447"/>
      <x:c r="G1" s="1447"/>
      <x:c r="H1" s="1447"/>
      <x:c r="I1" s="1447"/>
      <x:c r="J1" s="1448"/>
    </x:row>
    <x:row r="3" ht="36" customHeight="1">
      <x:c r="A3" s="1408" t="str">
        <x:v>对象</x:v>
      </x:c>
      <x:c r="B3" s="1408" t="str">
        <x:v>核心ID</x:v>
      </x:c>
      <x:c r="C3" s="1413" t="str">
        <x:v>资源类型</x:v>
      </x:c>
      <x:c r="D3" s="1413" t="str">
        <x:v>触发时机</x:v>
      </x:c>
      <x:c r="E3" s="1418" t="str">
        <x:v>关键字段</x:v>
      </x:c>
      <x:c r="F3" s="1418" t="str">
        <x:v>冲突判定</x:v>
      </x:c>
      <x:c r="G3" s="1423" t="str">
        <x:v>TTL/释放</x:v>
      </x:c>
      <x:c r="H3" s="1423" t="str">
        <x:v>失败处理</x:v>
      </x:c>
      <x:c r="I3" s="1428" t="str">
        <x:v>V1范围</x:v>
      </x:c>
      <x:c r="J3" s="1428" t="str">
        <x:v>验收标准</x:v>
      </x:c>
    </x:row>
    <x:row r="4" ht="46" customHeight="1">
      <x:c r="A4" s="1314" t="str">
        <x:v>DataReservation</x:v>
      </x:c>
      <x:c r="B4" s="1315" t="str">
        <x:v>data_reservation_id</x:v>
      </x:c>
      <x:c r="C4" s="1315" t="str">
        <x:v>账号、订单、业务数据</x:v>
      </x:c>
      <x:c r="D4" s="1315" t="str">
        <x:v>Runner启动前准备数据</x:v>
      </x:c>
      <x:c r="E4" s="1315" t="str">
        <x:v>data_profile_id,execution_id,reservation_key,status,expires_at</x:v>
      </x:c>
      <x:c r="F4" s="1315" t="str">
        <x:v>同一reservation_key只允许一个active</x:v>
      </x:c>
      <x:c r="G4" s="1315" t="str">
        <x:v>执行结束释放；超时自动过期</x:v>
      </x:c>
      <x:c r="H4" s="1315" t="str">
        <x:v>Execution blocked并返回data_unavailable</x:v>
      </x:c>
      <x:c r="I4" s="1315" t="str">
        <x:v>否</x:v>
      </x:c>
      <x:c r="J4" s="1316" t="str">
        <x:v>并发用例不会共享独占账号</x:v>
      </x:c>
    </x:row>
    <x:row r="5" ht="46" customHeight="1">
      <x:c r="A5" s="1325" t="str">
        <x:v>EnvironmentReservation</x:v>
      </x:c>
      <x:c r="B5" s="1326" t="str">
        <x:v>environment_reservation_id</x:v>
      </x:c>
      <x:c r="C5" s="1326" t="str">
        <x:v>测试环境容量或独占权</x:v>
      </x:c>
      <x:c r="D5" s="1326" t="str">
        <x:v>调度后、Runner启动前</x:v>
      </x:c>
      <x:c r="E5" s="1326" t="str">
        <x:v>environment_id,job_id,mode,capacity_units,start/end,status</x:v>
      </x:c>
      <x:c r="F5" s="1326" t="str">
        <x:v>容量不足、时间窗重叠、维护窗口</x:v>
      </x:c>
      <x:c r="G5" s="1326" t="str">
        <x:v>执行结束释放；任务取消释放</x:v>
      </x:c>
      <x:c r="H5" s="1326" t="str">
        <x:v>任务保持queued或blocked</x:v>
      </x:c>
      <x:c r="I5" s="1326" t="str">
        <x:v>否</x:v>
      </x:c>
      <x:c r="J5" s="1327" t="str">
        <x:v>性能/故障任务可独占环境</x:v>
      </x:c>
    </x:row>
    <x:row r="6" ht="46" customHeight="1">
      <x:c r="A6" s="1336" t="str">
        <x:v>ResourceLock</x:v>
      </x:c>
      <x:c r="B6" s="1337" t="str">
        <x:v>resource_lock_id</x:v>
      </x:c>
      <x:c r="C6" s="1337" t="str">
        <x:v>Mock、故障注入器、外部依赖</x:v>
      </x:c>
      <x:c r="D6" s="1337" t="str">
        <x:v>能力setup前</x:v>
      </x:c>
      <x:c r="E6" s="1337" t="str">
        <x:v>resource_type,resource_id,execution_id,lock_mode,lease_until</x:v>
      </x:c>
      <x:c r="F6" s="1337" t="str">
        <x:v>exclusive/shared兼容矩阵</x:v>
      </x:c>
      <x:c r="G6" s="1337" t="str">
        <x:v>心跳续租；强制清理释放</x:v>
      </x:c>
      <x:c r="H6" s="1337" t="str">
        <x:v>触发cleanup和告警</x:v>
      </x:c>
      <x:c r="I6" s="1337" t="str">
        <x:v>是</x:v>
      </x:c>
      <x:c r="J6" s="1338" t="str">
        <x:v>故障注入不会影响其他任务</x:v>
      </x:c>
    </x:row>
    <x:row r="7" ht="46" customHeight="1">
      <x:c r="A7" s="1347" t="str">
        <x:v>EnvironmentCapacity</x:v>
      </x:c>
      <x:c r="B7" s="1348" t="str">
        <x:v>environment_id</x:v>
      </x:c>
      <x:c r="C7" s="1348" t="str">
        <x:v>环境并发容量</x:v>
      </x:c>
      <x:c r="D7" s="1348" t="str">
        <x:v>调度决策时</x:v>
      </x:c>
      <x:c r="E7" s="1348" t="str">
        <x:v>capacity_limit,current_load,reserved_load,health_status</x:v>
      </x:c>
      <x:c r="F7" s="1348" t="str">
        <x:v>current+reserved+request&lt;=limit</x:v>
      </x:c>
      <x:c r="G7" s="1348" t="str">
        <x:v>执行状态聚合更新</x:v>
      </x:c>
      <x:c r="H7" s="1348" t="str">
        <x:v>超限时等待或拒绝</x:v>
      </x:c>
      <x:c r="I7" s="1348" t="str">
        <x:v>否</x:v>
      </x:c>
      <x:c r="J7" s="1349" t="str">
        <x:v>可按环境限制并发</x:v>
      </x:c>
    </x:row>
    <x:row r="8" ht="46" customHeight="1">
      <x:c r="A8" s="1358" t="str">
        <x:v>MaintenanceWindow</x:v>
      </x:c>
      <x:c r="B8" s="1359" t="str">
        <x:v>maintenance_window_id</x:v>
      </x:c>
      <x:c r="C8" s="1359" t="str">
        <x:v>环境维护时段</x:v>
      </x:c>
      <x:c r="D8" s="1359" t="str">
        <x:v>调度查询时</x:v>
      </x:c>
      <x:c r="E8" s="1359" t="str">
        <x:v>environment_id,start,end,recurrence,reason</x:v>
      </x:c>
      <x:c r="F8" s="1359" t="str">
        <x:v>任务时间与维护窗口重叠</x:v>
      </x:c>
      <x:c r="G8" s="1359" t="str">
        <x:v>窗口结束自动恢复</x:v>
      </x:c>
      <x:c r="H8" s="1359" t="str">
        <x:v>禁止新任务进入</x:v>
      </x:c>
      <x:c r="I8" s="1359" t="str">
        <x:v>否</x:v>
      </x:c>
      <x:c r="J8" s="1360" t="str">
        <x:v>维护时段不会启动自动化</x:v>
      </x:c>
    </x:row>
    <x:row r="9" ht="46" customHeight="1">
      <x:c r="A9" s="1369" t="str">
        <x:v>DataSetupResult</x:v>
      </x:c>
      <x:c r="B9" s="1370" t="str">
        <x:v>data_setup_result_id</x:v>
      </x:c>
      <x:c r="C9" s="1370" t="str">
        <x:v>数据准备结果</x:v>
      </x:c>
      <x:c r="D9" s="1370" t="str">
        <x:v>数据工厂setup后</x:v>
      </x:c>
      <x:c r="E9" s="1370" t="str">
        <x:v>execution_id,data_ref,status,created_resources,error</x:v>
      </x:c>
      <x:c r="F9" s="1370" t="str">
        <x:v>同一执行幂等键</x:v>
      </x:c>
      <x:c r="G9" s="1370" t="str">
        <x:v>与CleanupResult配对</x:v>
      </x:c>
      <x:c r="H9" s="1370" t="str">
        <x:v>失败则不启动主步骤</x:v>
      </x:c>
      <x:c r="I9" s="1370" t="str">
        <x:v>是</x:v>
      </x:c>
      <x:c r="J9" s="1371" t="str">
        <x:v>数据准备失败可定位</x:v>
      </x:c>
    </x:row>
    <x:row r="10" ht="46" customHeight="1">
      <x:c r="A10" s="1380" t="str">
        <x:v>CleanupResult</x:v>
      </x:c>
      <x:c r="B10" s="1381" t="str">
        <x:v>cleanup_result_id</x:v>
      </x:c>
      <x:c r="C10" s="1381" t="str">
        <x:v>数据、环境、Mock、故障恢复</x:v>
      </x:c>
      <x:c r="D10" s="1381" t="str">
        <x:v>执行结束/异常终止</x:v>
      </x:c>
      <x:c r="E10" s="1381" t="str">
        <x:v>execution_id,resource_id,action,status,error,verified_at</x:v>
      </x:c>
      <x:c r="F10" s="1381" t="str">
        <x:v>每个需清理资源必须有结果</x:v>
      </x:c>
      <x:c r="G10" s="1381" t="str">
        <x:v>成功释放；失败保留锁并告警</x:v>
      </x:c>
      <x:c r="H10" s="1381" t="str">
        <x:v>标记environment_at_risk</x:v>
      </x:c>
      <x:c r="I10" s="1381" t="str">
        <x:v>是</x:v>
      </x:c>
      <x:c r="J10" s="1382" t="str">
        <x:v>Runner崩溃后仍执行强制清理</x:v>
      </x:c>
    </x:row>
    <x:row r="11" ht="46" customHeight="1">
      <x:c r="A11" s="1391" t="str">
        <x:v>ReservationAudit</x:v>
      </x:c>
      <x:c r="B11" s="1392" t="str">
        <x:v>reservation_event_id</x:v>
      </x:c>
      <x:c r="C11" s="1392" t="str">
        <x:v>预占和锁事件</x:v>
      </x:c>
      <x:c r="D11" s="1392" t="str">
        <x:v>所有状态变化</x:v>
      </x:c>
      <x:c r="E11" s="1392" t="str">
        <x:v>reservation_id,from_status,to_status,reason,trace_id</x:v>
      </x:c>
      <x:c r="F11" s="1392" t="str">
        <x:v>事件顺序和幂等</x:v>
      </x:c>
      <x:c r="G11" s="1392" t="str">
        <x:v>按审计策略保留</x:v>
      </x:c>
      <x:c r="H11" s="1392" t="str">
        <x:v>用于孤儿锁排查</x:v>
      </x:c>
      <x:c r="I11" s="1392" t="str">
        <x:v>否</x:v>
      </x:c>
      <x:c r="J11" s="1393" t="str">
        <x:v>能追踪谁占用了资源</x:v>
      </x:c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4" hidden="0" customWidth="1"/>
    <x:col min="4" max="4" width="28" hidden="0" customWidth="1"/>
    <x:col min="5" max="5" width="28" hidden="0" customWidth="1"/>
    <x:col min="6" max="6" width="40" hidden="0" customWidth="1"/>
    <x:col min="7" max="7" width="32" hidden="0" customWidth="1"/>
    <x:col min="8" max="8" width="12" hidden="0" customWidth="1"/>
    <x:col min="9" max="9" width="42" hidden="0" customWidth="1"/>
    <x:col min="10" max="10" width="38" hidden="0" customWidth="1"/>
  </x:cols>
  <x:sheetData>
    <x:row r="1" ht="34" customHeight="1">
      <x:c r="A1" s="1456" t="str">
        <x:v>逐步骤执行、清理、重试与 Flaky 治理</x:v>
      </x:c>
      <x:c r="B1" s="1457"/>
      <x:c r="C1" s="1457"/>
      <x:c r="D1" s="1457"/>
      <x:c r="E1" s="1457"/>
      <x:c r="F1" s="1457"/>
      <x:c r="G1" s="1457"/>
      <x:c r="H1" s="1457"/>
      <x:c r="I1" s="1457"/>
      <x:c r="J1" s="1458"/>
    </x:row>
    <x:row r="3" ht="36" customHeight="1">
      <x:c r="A3" s="1408" t="str">
        <x:v>对象</x:v>
      </x:c>
      <x:c r="B3" s="1408" t="str">
        <x:v>核心字段</x:v>
      </x:c>
      <x:c r="C3" s="1413" t="str">
        <x:v>职责</x:v>
      </x:c>
      <x:c r="D3" s="1413" t="str">
        <x:v>状态/结果</x:v>
      </x:c>
      <x:c r="E3" s="1418" t="str">
        <x:v>证据关系</x:v>
      </x:c>
      <x:c r="F3" s="1418" t="str">
        <x:v>统计规则</x:v>
      </x:c>
      <x:c r="G3" s="1423" t="str">
        <x:v>治理动作</x:v>
      </x:c>
      <x:c r="H3" s="1423" t="str">
        <x:v>V1范围</x:v>
      </x:c>
      <x:c r="I3" s="1428" t="str">
        <x:v>关键约束</x:v>
      </x:c>
      <x:c r="J3" s="1428" t="str">
        <x:v>验收标准</x:v>
      </x:c>
    </x:row>
    <x:row r="4" ht="46" customHeight="1">
      <x:c r="A4" s="1314" t="str">
        <x:v>ExecutionStepResult</x:v>
      </x:c>
      <x:c r="B4" s="1315" t="str">
        <x:v>step_result_id,execution_id,step_id,attempt_no,action,target_ref,timing,error</x:v>
      </x:c>
      <x:c r="C4" s="1315" t="str">
        <x:v>记录每一个机器步骤的运行事实</x:v>
      </x:c>
      <x:c r="D4" s="1315" t="str">
        <x:v>pending/running/passed/failed/skipped/error</x:v>
      </x:c>
      <x:c r="E4" s="1315" t="str">
        <x:v>关联0..N Evidence和AssertionResult</x:v>
      </x:c>
      <x:c r="F4" s="1315" t="str">
        <x:v>按步骤和重试尝试聚合</x:v>
      </x:c>
      <x:c r="G4" s="1315" t="str">
        <x:v>失败定位、步骤趋势分析</x:v>
      </x:c>
      <x:c r="H4" s="1315" t="str">
        <x:v>是</x:v>
      </x:c>
      <x:c r="I4" s="1315" t="str">
        <x:v>step_id必须来自script_code</x:v>
      </x:c>
      <x:c r="J4" s="1316" t="str">
        <x:v>报告可定位具体失败步骤</x:v>
      </x:c>
    </x:row>
    <x:row r="5" ht="46" customHeight="1">
      <x:c r="A5" s="1325" t="str">
        <x:v>RetryAttempt</x:v>
      </x:c>
      <x:c r="B5" s="1326" t="str">
        <x:v>execution_id,attempt_no,retry_reason,started/finished,status</x:v>
      </x:c>
      <x:c r="C5" s="1326" t="str">
        <x:v>区分原始执行与重试</x:v>
      </x:c>
      <x:c r="D5" s="1326" t="str">
        <x:v>passed/failed/aborted</x:v>
      </x:c>
      <x:c r="E5" s="1326" t="str">
        <x:v>每次尝试独立证据</x:v>
      </x:c>
      <x:c r="F5" s="1326" t="str">
        <x:v>最终状态不能覆盖历史尝试</x:v>
      </x:c>
      <x:c r="G5" s="1326" t="str">
        <x:v>触发Flaky分析</x:v>
      </x:c>
      <x:c r="H5" s="1326" t="str">
        <x:v>是</x:v>
      </x:c>
      <x:c r="I5" s="1326" t="str">
        <x:v>重试策略版本化</x:v>
      </x:c>
      <x:c r="J5" s="1327" t="str">
        <x:v>passed_after_retry单独展示</x:v>
      </x:c>
    </x:row>
    <x:row r="6" ht="46" customHeight="1">
      <x:c r="A6" s="1336" t="str">
        <x:v>CleanupResult</x:v>
      </x:c>
      <x:c r="B6" s="1337" t="str">
        <x:v>execution_id,resource_type,action,status,error,verified_at</x:v>
      </x:c>
      <x:c r="C6" s="1337" t="str">
        <x:v>记录恢复和清理是否成功</x:v>
      </x:c>
      <x:c r="D6" s="1337" t="str">
        <x:v>succeeded/failed/partial/not_required</x:v>
      </x:c>
      <x:c r="E6" s="1337" t="str">
        <x:v>可关联清理日志/截图</x:v>
      </x:c>
      <x:c r="F6" s="1337" t="str">
        <x:v>失败率单独统计</x:v>
      </x:c>
      <x:c r="G6" s="1337" t="str">
        <x:v>环境风险告警、人工介入</x:v>
      </x:c>
      <x:c r="H6" s="1337" t="str">
        <x:v>是</x:v>
      </x:c>
      <x:c r="I6" s="1337" t="str">
        <x:v>清理失败不得隐藏在主失败中</x:v>
      </x:c>
      <x:c r="J6" s="1338" t="str">
        <x:v>故障用例后环境恢复可验证</x:v>
      </x:c>
    </x:row>
    <x:row r="7" ht="46" customHeight="1">
      <x:c r="A7" s="1347" t="str">
        <x:v>ExecutionMode</x:v>
      </x:c>
      <x:c r="B7" s="1348" t="str">
        <x:v>manual/automated/hybrid</x:v>
      </x:c>
      <x:c r="C7" s="1348" t="str">
        <x:v>允许手工资产进入计划和覆盖报告</x:v>
      </x:c>
      <x:c r="D7" s="1348" t="str">
        <x:v>manual/automated/hybrid</x:v>
      </x:c>
      <x:c r="E7" s="1348" t="str">
        <x:v>手工可上传附件</x:v>
      </x:c>
      <x:c r="F7" s="1348" t="str">
        <x:v>按模式分别统计</x:v>
      </x:c>
      <x:c r="G7" s="1348" t="str">
        <x:v>manual_only资产不被丢弃</x:v>
      </x:c>
      <x:c r="H7" s="1348" t="str">
        <x:v>否</x:v>
      </x:c>
      <x:c r="I7" s="1348" t="str">
        <x:v>手工结果仍需execution_id</x:v>
      </x:c>
      <x:c r="J7" s="1349" t="str">
        <x:v>手工执行纳入统一报告</x:v>
      </x:c>
    </x:row>
    <x:row r="8" ht="46" customHeight="1">
      <x:c r="A8" s="1358" t="str">
        <x:v>ManualExecutionResult</x:v>
      </x:c>
      <x:c r="B8" s="1359" t="str">
        <x:v>result,comment,executed_by,executed_at,evidence_refs</x:v>
      </x:c>
      <x:c r="C8" s="1359" t="str">
        <x:v>保存人工步骤执行结论</x:v>
      </x:c>
      <x:c r="D8" s="1359" t="str">
        <x:v>passed/failed/blocked/not_run</x:v>
      </x:c>
      <x:c r="E8" s="1359" t="str">
        <x:v>关联Evidence</x:v>
      </x:c>
      <x:c r="F8" s="1359" t="str">
        <x:v>不参与Runner稳定性统计</x:v>
      </x:c>
      <x:c r="G8" s="1359" t="str">
        <x:v>复核、重新执行</x:v>
      </x:c>
      <x:c r="H8" s="1359" t="str">
        <x:v>否</x:v>
      </x:c>
      <x:c r="I8" s="1359" t="str">
        <x:v>不得直接修改自动执行记录</x:v>
      </x:c>
      <x:c r="J8" s="1360" t="str">
        <x:v>人工测试有完整审计</x:v>
      </x:c>
    </x:row>
    <x:row r="9" ht="46" customHeight="1">
      <x:c r="A9" s="1369" t="str">
        <x:v>FlakyProfile</x:v>
      </x:c>
      <x:c r="B9" s="1370" t="str">
        <x:v>flaky_score,window,total_runs,failures,retry_passes,alternation_rate</x:v>
      </x:c>
      <x:c r="C9" s="1370" t="str">
        <x:v>评估用例不稳定性</x:v>
      </x:c>
      <x:c r="D9" s="1370" t="str">
        <x:v>stable/suspected/flaky/quarantined</x:v>
      </x:c>
      <x:c r="E9" s="1370" t="str">
        <x:v>基于Execution和StepResult</x:v>
      </x:c>
      <x:c r="F9" s="1370" t="str">
        <x:v>可采用最近N次/时间窗口</x:v>
      </x:c>
      <x:c r="G9" s="1370" t="str">
        <x:v>告警、隔离、修复责任人</x:v>
      </x:c>
      <x:c r="H9" s="1370" t="str">
        <x:v>否</x:v>
      </x:c>
      <x:c r="I9" s="1370" t="str">
        <x:v>重试通过不是普通通过</x:v>
      </x:c>
      <x:c r="J9" s="1371" t="str">
        <x:v>可识别间歇性失败</x:v>
      </x:c>
    </x:row>
    <x:row r="10" ht="46" customHeight="1">
      <x:c r="A10" s="1380" t="str">
        <x:v>QuarantineRecord</x:v>
      </x:c>
      <x:c r="B10" s="1381" t="str">
        <x:v>reason,owner,created_at,expires_at,release_condition,status</x:v>
      </x:c>
      <x:c r="C10" s="1381" t="str">
        <x:v>将不稳定用例移出默认回归</x:v>
      </x:c>
      <x:c r="D10" s="1381" t="str">
        <x:v>active/released/expired</x:v>
      </x:c>
      <x:c r="E10" s="1381" t="str">
        <x:v>保留历史执行</x:v>
      </x:c>
      <x:c r="F10" s="1381" t="str">
        <x:v>隔离期间单独统计</x:v>
      </x:c>
      <x:c r="G10" s="1381" t="str">
        <x:v>修复后验证并释放</x:v>
      </x:c>
      <x:c r="H10" s="1381" t="str">
        <x:v>否</x:v>
      </x:c>
      <x:c r="I10" s="1381" t="str">
        <x:v>不能永久无责任人隔离</x:v>
      </x:c>
      <x:c r="J10" s="1382" t="str">
        <x:v>默认计划不会被flaky污染</x:v>
      </x:c>
    </x:row>
    <x:row r="11" ht="46" customHeight="1">
      <x:c r="A11" s="1391" t="str">
        <x:v>FailureClassification</x:v>
      </x:c>
      <x:c r="B11" s="1392" t="str">
        <x:v>product_defect/test_issue/resource_issue/environment_issue/flaky/unknown</x:v>
      </x:c>
      <x:c r="C11" s="1392" t="str">
        <x:v>统一失败分类</x:v>
      </x:c>
      <x:c r="D11" s="1392" t="str">
        <x:v>pending/confirmed/dismissed</x:v>
      </x:c>
      <x:c r="E11" s="1392" t="str">
        <x:v>引用关键Evidence</x:v>
      </x:c>
      <x:c r="F11" s="1392" t="str">
        <x:v>人工确认优先于AI</x:v>
      </x:c>
      <x:c r="G11" s="1392" t="str">
        <x:v>路由到资产、资源、缺陷或平台</x:v>
      </x:c>
      <x:c r="H11" s="1392" t="str">
        <x:v>否</x:v>
      </x:c>
      <x:c r="I11" s="1392" t="str">
        <x:v>分类可被纠正</x:v>
      </x:c>
      <x:c r="J11" s="1393" t="str">
        <x:v>失败反馈进入正确责任域</x:v>
      </x:c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4" hidden="0" customWidth="1"/>
    <x:col min="4" max="4" width="26" hidden="0" customWidth="1"/>
    <x:col min="5" max="5" width="28" hidden="0" customWidth="1"/>
    <x:col min="6" max="6" width="32" hidden="0" customWidth="1"/>
    <x:col min="7" max="7" width="12" hidden="0" customWidth="1"/>
    <x:col min="8" max="8" width="45" hidden="0" customWidth="1"/>
    <x:col min="9" max="9" width="40" hidden="0" customWidth="1"/>
  </x:cols>
  <x:sheetData>
    <x:row r="1" ht="34" customHeight="1">
      <x:c r="A1" s="1466" t="str">
        <x:v>AI 模型调用、成本、安全与效果评估</x:v>
      </x:c>
      <x:c r="B1" s="1467"/>
      <x:c r="C1" s="1467"/>
      <x:c r="D1" s="1467"/>
      <x:c r="E1" s="1467"/>
      <x:c r="F1" s="1467"/>
      <x:c r="G1" s="1467"/>
      <x:c r="H1" s="1467"/>
      <x:c r="I1" s="1468"/>
    </x:row>
    <x:row r="3" ht="36" customHeight="1">
      <x:c r="A3" s="1408" t="str">
        <x:v>分类</x:v>
      </x:c>
      <x:c r="B3" s="1408" t="str">
        <x:v>字段/对象</x:v>
      </x:c>
      <x:c r="C3" s="1413" t="str">
        <x:v>作用</x:v>
      </x:c>
      <x:c r="D3" s="1413" t="str">
        <x:v>采集时机</x:v>
      </x:c>
      <x:c r="E3" s="1418" t="str">
        <x:v>指标/状态</x:v>
      </x:c>
      <x:c r="F3" s="1418" t="str">
        <x:v>使用场景</x:v>
      </x:c>
      <x:c r="G3" s="1423" t="str">
        <x:v>V1范围</x:v>
      </x:c>
      <x:c r="H3" s="1423" t="str">
        <x:v>关键约束</x:v>
      </x:c>
      <x:c r="I3" s="1428" t="str">
        <x:v>验收标准</x:v>
      </x:c>
    </x:row>
    <x:row r="4" ht="44" customHeight="1">
      <x:c r="A4" s="1314" t="str">
        <x:v>模型调用</x:v>
      </x:c>
      <x:c r="B4" s="1315" t="str">
        <x:v>model_provider/model_name/model_version</x:v>
      </x:c>
      <x:c r="C4" s="1315" t="str">
        <x:v>确定实际调用模型</x:v>
      </x:c>
      <x:c r="D4" s="1315" t="str">
        <x:v>调用前</x:v>
      </x:c>
      <x:c r="E4" s="1315" t="str">
        <x:v>字符串</x:v>
      </x:c>
      <x:c r="F4" s="1315" t="str">
        <x:v>可追溯、成本分析、回滚</x:v>
      </x:c>
      <x:c r="G4" s="1315" t="str">
        <x:v>是</x:v>
      </x:c>
      <x:c r="H4" s="1315" t="str">
        <x:v>不能只记录显示名称</x:v>
      </x:c>
      <x:c r="I4" s="1316" t="str">
        <x:v>每条AI结果可定位模型版本</x:v>
      </x:c>
    </x:row>
    <x:row r="5" ht="44" customHeight="1">
      <x:c r="A5" s="1325" t="str">
        <x:v>模型调用</x:v>
      </x:c>
      <x:c r="B5" s="1326" t="str">
        <x:v>temperature/top_p/max_tokens/seed</x:v>
      </x:c>
      <x:c r="C5" s="1326" t="str">
        <x:v>记录推理参数</x:v>
      </x:c>
      <x:c r="D5" s="1326" t="str">
        <x:v>调用前</x:v>
      </x:c>
      <x:c r="E5" s="1326" t="str">
        <x:v>数值</x:v>
      </x:c>
      <x:c r="F5" s="1326" t="str">
        <x:v>重放和对比</x:v>
      </x:c>
      <x:c r="G5" s="1326" t="str">
        <x:v>是</x:v>
      </x:c>
      <x:c r="H5" s="1326" t="str">
        <x:v>供应商不支持字段可为空</x:v>
      </x:c>
      <x:c r="I5" s="1327" t="str">
        <x:v>Prompt调整效果可解释</x:v>
      </x:c>
    </x:row>
    <x:row r="6" ht="44" customHeight="1">
      <x:c r="A6" s="1336" t="str">
        <x:v>成本性能</x:v>
      </x:c>
      <x:c r="B6" s="1337" t="str">
        <x:v>input/output tokens,estimated_cost,latency_ms</x:v>
      </x:c>
      <x:c r="C6" s="1337" t="str">
        <x:v>成本和性能监控</x:v>
      </x:c>
      <x:c r="D6" s="1337" t="str">
        <x:v>调用完成后</x:v>
      </x:c>
      <x:c r="E6" s="1337" t="str">
        <x:v>数值</x:v>
      </x:c>
      <x:c r="F6" s="1337" t="str">
        <x:v>预算、限额、SLO</x:v>
      </x:c>
      <x:c r="G6" s="1337" t="str">
        <x:v>是</x:v>
      </x:c>
      <x:c r="H6" s="1337" t="str">
        <x:v>计算口径统一</x:v>
      </x:c>
      <x:c r="I6" s="1338" t="str">
        <x:v>可按项目/模型统计成本</x:v>
      </x:c>
    </x:row>
    <x:row r="7" ht="44" customHeight="1">
      <x:c r="A7" s="1347" t="str">
        <x:v>响应治理</x:v>
      </x:c>
      <x:c r="B7" s="1348" t="str">
        <x:v>response_schema_version</x:v>
      </x:c>
      <x:c r="C7" s="1348" t="str">
        <x:v>记录自然语言输出契约版本</x:v>
      </x:c>
      <x:c r="D7" s="1348" t="str">
        <x:v>调用前/解析时</x:v>
      </x:c>
      <x:c r="E7" s="1348" t="str">
        <x:v>published/retired</x:v>
      </x:c>
      <x:c r="F7" s="1348" t="str">
        <x:v>兼容解析与迁移</x:v>
      </x:c>
      <x:c r="G7" s="1348" t="str">
        <x:v>是</x:v>
      </x:c>
      <x:c r="H7" s="1348" t="str">
        <x:v>Schema变更需版本化</x:v>
      </x:c>
      <x:c r="I7" s="1349" t="str">
        <x:v>旧结果可继续解析</x:v>
      </x:c>
    </x:row>
    <x:row r="8" ht="44" customHeight="1">
      <x:c r="A8" s="1358" t="str">
        <x:v>安全治理</x:v>
      </x:c>
      <x:c r="B8" s="1359" t="str">
        <x:v>pii_redaction_result</x:v>
      </x:c>
      <x:c r="C8" s="1359" t="str">
        <x:v>记录输入输出脱敏结果</x:v>
      </x:c>
      <x:c r="D8" s="1359" t="str">
        <x:v>调用前后</x:v>
      </x:c>
      <x:c r="E8" s="1359" t="str">
        <x:v>passed/failed/warning</x:v>
      </x:c>
      <x:c r="F8" s="1359" t="str">
        <x:v>保护需求、日志和凭证</x:v>
      </x:c>
      <x:c r="G8" s="1359" t="str">
        <x:v>是</x:v>
      </x:c>
      <x:c r="H8" s="1359" t="str">
        <x:v>脱敏失败时禁止向外部模型发送敏感内容</x:v>
      </x:c>
      <x:c r="I8" s="1360" t="str">
        <x:v>敏感日志不会进入Prompt</x:v>
      </x:c>
    </x:row>
    <x:row r="9" ht="44" customHeight="1">
      <x:c r="A9" s="1369" t="str">
        <x:v>安全治理</x:v>
      </x:c>
      <x:c r="B9" s="1370" t="str">
        <x:v>safety_filter_result</x:v>
      </x:c>
      <x:c r="C9" s="1370" t="str">
        <x:v>记录安全过滤结论</x:v>
      </x:c>
      <x:c r="D9" s="1370" t="str">
        <x:v>响应后</x:v>
      </x:c>
      <x:c r="E9" s="1370" t="str">
        <x:v>passed/blocked/warning</x:v>
      </x:c>
      <x:c r="F9" s="1370" t="str">
        <x:v>异常/安全Payload治理</x:v>
      </x:c>
      <x:c r="G9" s="1370" t="str">
        <x:v>是</x:v>
      </x:c>
      <x:c r="H9" s="1370" t="str">
        <x:v>过滤只控制AI调用风险，不阻止自然语言资产保存</x:v>
      </x:c>
      <x:c r="I9" s="1371" t="str">
        <x:v>安全事件可审计</x:v>
      </x:c>
    </x:row>
    <x:row r="10" ht="44" customHeight="1">
      <x:c r="A10" s="1380" t="str">
        <x:v>降级容错</x:v>
      </x:c>
      <x:c r="B10" s="1381" t="str">
        <x:v>fallback_model/fallback_reason</x:v>
      </x:c>
      <x:c r="C10" s="1381" t="str">
        <x:v>记录模型降级调用</x:v>
      </x:c>
      <x:c r="D10" s="1381" t="str">
        <x:v>失败重试时</x:v>
      </x:c>
      <x:c r="E10" s="1381" t="str">
        <x:v>模型ID/原因</x:v>
      </x:c>
      <x:c r="F10" s="1381" t="str">
        <x:v>稳定性分析</x:v>
      </x:c>
      <x:c r="G10" s="1381" t="str">
        <x:v>否</x:v>
      </x:c>
      <x:c r="H10" s="1381" t="str">
        <x:v>降级不得改变输出Schema</x:v>
      </x:c>
      <x:c r="I10" s="1382" t="str">
        <x:v>可识别哪些结果来自备用模型</x:v>
      </x:c>
    </x:row>
    <x:row r="11" ht="44" customHeight="1">
      <x:c r="A11" s="1391" t="str">
        <x:v>评估数据集</x:v>
      </x:c>
      <x:c r="B11" s="1392" t="str">
        <x:v>AIEvaluationDataset</x:v>
      </x:c>
      <x:c r="C11" s="1392" t="str">
        <x:v>保存固定需求样本和人工基准</x:v>
      </x:c>
      <x:c r="D11" s="1392" t="str">
        <x:v>建设/维护时</x:v>
      </x:c>
      <x:c r="E11" s="1392" t="str">
        <x:v>active/retired</x:v>
      </x:c>
      <x:c r="F11" s="1392" t="str">
        <x:v>模型和Prompt发布前评估</x:v>
      </x:c>
      <x:c r="G11" s="1392" t="str">
        <x:v>否</x:v>
      </x:c>
      <x:c r="H11" s="1392" t="str">
        <x:v>禁止使用生产敏感数据明文</x:v>
      </x:c>
      <x:c r="I11" s="1393" t="str">
        <x:v>有可重复的基准集</x:v>
      </x:c>
    </x:row>
    <x:row r="12" ht="44" customHeight="1">
      <x:c r="A12" s="1314" t="str">
        <x:v>评估任务</x:v>
      </x:c>
      <x:c r="B12" s="1315" t="str">
        <x:v>AIEvaluationRun</x:v>
      </x:c>
      <x:c r="C12" s="1315" t="str">
        <x:v>执行某模型+Prompt组合评估</x:v>
      </x:c>
      <x:c r="D12" s="1315" t="str">
        <x:v>版本发布前</x:v>
      </x:c>
      <x:c r="E12" s="1315" t="str">
        <x:v>queued/running/succeeded/failed</x:v>
      </x:c>
      <x:c r="F12" s="1315" t="str">
        <x:v>回归比较</x:v>
      </x:c>
      <x:c r="G12" s="1315" t="str">
        <x:v>否</x:v>
      </x:c>
      <x:c r="H12" s="1315" t="str">
        <x:v>记录数据集版本和配置</x:v>
      </x:c>
      <x:c r="I12" s="1316" t="str">
        <x:v>新版本可与基线对比</x:v>
      </x:c>
    </x:row>
    <x:row r="13" ht="44" customHeight="1">
      <x:c r="A13" s="1325" t="str">
        <x:v>评估指标</x:v>
      </x:c>
      <x:c r="B13" s="1326" t="str">
        <x:v>完整性/重复率/需求覆盖率/幻觉资源引用率/人工修改率/转换成功率</x:v>
      </x:c>
      <x:c r="C13" s="1326" t="str">
        <x:v>衡量真实平台效果</x:v>
      </x:c>
      <x:c r="D13" s="1326" t="str">
        <x:v>评估和线上聚合</x:v>
      </x:c>
      <x:c r="E13" s="1326" t="str">
        <x:v>0-100%/计数</x:v>
      </x:c>
      <x:c r="F13" s="1326" t="str">
        <x:v>发布门槛和持续优化</x:v>
      </x:c>
      <x:c r="G13" s="1326" t="str">
        <x:v>否</x:v>
      </x:c>
      <x:c r="H13" s="1326" t="str">
        <x:v>指标定义稳定且有样本数</x:v>
      </x:c>
      <x:c r="I13" s="1327" t="str">
        <x:v>模型升级不只看主观效果</x:v>
      </x:c>
    </x:row>
    <x:row r="14" ht="44" customHeight="1">
      <x:c r="A14" s="1336" t="str">
        <x:v>线上反馈</x:v>
      </x:c>
      <x:c r="B14" s="1337" t="str">
        <x:v>asset_edit_distance/review_reject/conversion_block</x:v>
      </x:c>
      <x:c r="C14" s="1337" t="str">
        <x:v>从实际使用回流质量信号</x:v>
      </x:c>
      <x:c r="D14" s="1337" t="str">
        <x:v>编辑、审核、转换时</x:v>
      </x:c>
      <x:c r="E14" s="1337" t="str">
        <x:v>数值/枚举</x:v>
      </x:c>
      <x:c r="F14" s="1337" t="str">
        <x:v>AI效果分析</x:v>
      </x:c>
      <x:c r="G14" s="1337" t="str">
        <x:v>否</x:v>
      </x:c>
      <x:c r="H14" s="1337" t="str">
        <x:v>不得直接用于自动训练敏感数据</x:v>
      </x:c>
      <x:c r="I14" s="1338" t="str">
        <x:v>可定位Prompt薄弱场景</x:v>
      </x:c>
    </x:row>
    <x:row r="15" ht="44" customHeight="1">
      <x:c r="A15" s="1347" t="str">
        <x:v>发布策略</x:v>
      </x:c>
      <x:c r="B15" s="1348" t="str">
        <x:v>AIModelRelease</x:v>
      </x:c>
      <x:c r="C15" s="1348" t="str">
        <x:v>管理模型/Prompt灰度和回退</x:v>
      </x:c>
      <x:c r="D15" s="1348" t="str">
        <x:v>评估通过后</x:v>
      </x:c>
      <x:c r="E15" s="1348" t="str">
        <x:v>draft/canary/active/rolled_back/retired</x:v>
      </x:c>
      <x:c r="F15" s="1348" t="str">
        <x:v>Feature Flag灰度</x:v>
      </x:c>
      <x:c r="G15" s="1348" t="str">
        <x:v>否</x:v>
      </x:c>
      <x:c r="H15" s="1348" t="str">
        <x:v>发布需绑定评估结果</x:v>
      </x:c>
      <x:c r="I15" s="1349" t="str">
        <x:v>模型升级可小流量验证</x:v>
      </x:c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2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42" hidden="0" customWidth="1"/>
  </x:cols>
  <x:sheetData>
    <x:row r="1" ht="34" customHeight="1">
      <x:c r="A1" s="1476" t="str">
        <x:v>全平台通用字段、审计与并发规范</x:v>
      </x:c>
      <x:c r="B1" s="1477"/>
      <x:c r="C1" s="1477"/>
      <x:c r="D1" s="1477"/>
      <x:c r="E1" s="1477"/>
      <x:c r="F1" s="1477"/>
      <x:c r="G1" s="1477"/>
      <x:c r="H1" s="1477"/>
      <x:c r="I1" s="1478"/>
    </x:row>
    <x:row r="3" ht="36" customHeight="1">
      <x:c r="A3" s="1408" t="str">
        <x:v>字段</x:v>
      </x:c>
      <x:c r="B3" s="1408" t="str">
        <x:v>适用表</x:v>
      </x:c>
      <x:c r="C3" s="1413" t="str">
        <x:v>数据类型</x:v>
      </x:c>
      <x:c r="D3" s="1413" t="str">
        <x:v>是否必填</x:v>
      </x:c>
      <x:c r="E3" s="1418" t="str">
        <x:v>生成/维护方</x:v>
      </x:c>
      <x:c r="F3" s="1418" t="str">
        <x:v>索引建议</x:v>
      </x:c>
      <x:c r="G3" s="1423" t="str">
        <x:v>更新规则</x:v>
      </x:c>
      <x:c r="H3" s="1423" t="str">
        <x:v>用途</x:v>
      </x:c>
      <x:c r="I3" s="1428" t="str">
        <x:v>禁止事项</x:v>
      </x:c>
    </x:row>
    <x:row r="4" ht="42" customHeight="1">
      <x:c r="A4" s="1314" t="str">
        <x:v>tenant_id</x:v>
      </x:c>
      <x:c r="B4" s="1315" t="str">
        <x:v>所有租户级业务表</x:v>
      </x:c>
      <x:c r="C4" s="1315" t="str">
        <x:v>UUID/字符串</x:v>
      </x:c>
      <x:c r="D4" s="1315" t="str">
        <x:v>按部署模式</x:v>
      </x:c>
      <x:c r="E4" s="1315" t="str">
        <x:v>租户上下文</x:v>
      </x:c>
      <x:c r="F4" s="1315" t="str">
        <x:v>tenant_id + project_id</x:v>
      </x:c>
      <x:c r="G4" s="1315" t="str">
        <x:v>创建后通常不可变</x:v>
      </x:c>
      <x:c r="H4" s="1315" t="str">
        <x:v>租户隔离</x:v>
      </x:c>
      <x:c r="I4" s="1316" t="str">
        <x:v>不能由客户端任意指定</x:v>
      </x:c>
    </x:row>
    <x:row r="5" ht="42" customHeight="1">
      <x:c r="A5" s="1325" t="str">
        <x:v>project_id</x:v>
      </x:c>
      <x:c r="B5" s="1326" t="str">
        <x:v>所有项目业务表</x:v>
      </x:c>
      <x:c r="C5" s="1326" t="str">
        <x:v>UUID/字符串</x:v>
      </x:c>
      <x:c r="D5" s="1326" t="str">
        <x:v>是</x:v>
      </x:c>
      <x:c r="E5" s="1326" t="str">
        <x:v>项目上下文</x:v>
      </x:c>
      <x:c r="F5" s="1326" t="str">
        <x:v>所有主查询首列索引</x:v>
      </x:c>
      <x:c r="G5" s="1326" t="str">
        <x:v>创建后不可变或受控迁移</x:v>
      </x:c>
      <x:c r="H5" s="1326" t="str">
        <x:v>项目隔离</x:v>
      </x:c>
      <x:c r="I5" s="1327" t="str">
        <x:v>禁止default正式数据</x:v>
      </x:c>
    </x:row>
    <x:row r="6" ht="42" customHeight="1">
      <x:c r="A6" s="1336" t="str">
        <x:v>created_at</x:v>
      </x:c>
      <x:c r="B6" s="1337" t="str">
        <x:v>所有核心表</x:v>
      </x:c>
      <x:c r="C6" s="1337" t="str">
        <x:v>UTC时间</x:v>
      </x:c>
      <x:c r="D6" s="1337" t="str">
        <x:v>是</x:v>
      </x:c>
      <x:c r="E6" s="1337" t="str">
        <x:v>数据库/Repository</x:v>
      </x:c>
      <x:c r="F6" s="1337" t="str">
        <x:v>时间索引按需</x:v>
      </x:c>
      <x:c r="G6" s="1337" t="str">
        <x:v>仅创建时写入</x:v>
      </x:c>
      <x:c r="H6" s="1337" t="str">
        <x:v>审计</x:v>
      </x:c>
      <x:c r="I6" s="1338" t="str">
        <x:v>不得使用本地时区混存</x:v>
      </x:c>
    </x:row>
    <x:row r="7" ht="42" customHeight="1">
      <x:c r="A7" s="1347" t="str">
        <x:v>created_by</x:v>
      </x:c>
      <x:c r="B7" s="1348" t="str">
        <x:v>可人工操作表</x:v>
      </x:c>
      <x:c r="C7" s="1348" t="str">
        <x:v>user_id/service_id</x:v>
      </x:c>
      <x:c r="D7" s="1348" t="str">
        <x:v>是</x:v>
      </x:c>
      <x:c r="E7" s="1348" t="str">
        <x:v>请求上下文</x:v>
      </x:c>
      <x:c r="F7" s="1348" t="str">
        <x:v>按审计需求</x:v>
      </x:c>
      <x:c r="G7" s="1348" t="str">
        <x:v>创建后不可变</x:v>
      </x:c>
      <x:c r="H7" s="1348" t="str">
        <x:v>审计责任</x:v>
      </x:c>
      <x:c r="I7" s="1349" t="str">
        <x:v>系统任务使用明确service identity</x:v>
      </x:c>
    </x:row>
    <x:row r="8" ht="42" customHeight="1">
      <x:c r="A8" s="1358" t="str">
        <x:v>updated_at</x:v>
      </x:c>
      <x:c r="B8" s="1359" t="str">
        <x:v>可更新表</x:v>
      </x:c>
      <x:c r="C8" s="1359" t="str">
        <x:v>UTC时间</x:v>
      </x:c>
      <x:c r="D8" s="1359" t="str">
        <x:v>是</x:v>
      </x:c>
      <x:c r="E8" s="1359" t="str">
        <x:v>数据库/Repository</x:v>
      </x:c>
      <x:c r="F8" s="1359" t="str">
        <x:v>按需</x:v>
      </x:c>
      <x:c r="G8" s="1359" t="str">
        <x:v>每次更新写入</x:v>
      </x:c>
      <x:c r="H8" s="1359" t="str">
        <x:v>变更追踪</x:v>
      </x:c>
      <x:c r="I8" s="1360" t="str">
        <x:v>不能依赖客户端时间</x:v>
      </x:c>
    </x:row>
    <x:row r="9" ht="42" customHeight="1">
      <x:c r="A9" s="1369" t="str">
        <x:v>updated_by</x:v>
      </x:c>
      <x:c r="B9" s="1370" t="str">
        <x:v>可更新表</x:v>
      </x:c>
      <x:c r="C9" s="1370" t="str">
        <x:v>user_id/service_id</x:v>
      </x:c>
      <x:c r="D9" s="1370" t="str">
        <x:v>是</x:v>
      </x:c>
      <x:c r="E9" s="1370" t="str">
        <x:v>请求上下文</x:v>
      </x:c>
      <x:c r="F9" s="1370" t="str">
        <x:v>按需</x:v>
      </x:c>
      <x:c r="G9" s="1370" t="str">
        <x:v>每次更新写入</x:v>
      </x:c>
      <x:c r="H9" s="1370" t="str">
        <x:v>变更责任</x:v>
      </x:c>
      <x:c r="I9" s="1371" t="str">
        <x:v>后台任务同样记录</x:v>
      </x:c>
    </x:row>
    <x:row r="10" ht="42" customHeight="1">
      <x:c r="A10" s="1380" t="str">
        <x:v>deleted_at</x:v>
      </x:c>
      <x:c r="B10" s="1381" t="str">
        <x:v>支持软删除表</x:v>
      </x:c>
      <x:c r="C10" s="1381" t="str">
        <x:v>UTC时间</x:v>
      </x:c>
      <x:c r="D10" s="1381" t="str">
        <x:v>否</x:v>
      </x:c>
      <x:c r="E10" s="1381" t="str">
        <x:v>领域服务</x:v>
      </x:c>
      <x:c r="F10" s="1381" t="str">
        <x:v>deleted_at索引</x:v>
      </x:c>
      <x:c r="G10" s="1381" t="str">
        <x:v>软删除时写入</x:v>
      </x:c>
      <x:c r="H10" s="1381" t="str">
        <x:v>恢复和历史保留</x:v>
      </x:c>
      <x:c r="I10" s="1382" t="str">
        <x:v>被引用实体不得直接物理删除</x:v>
      </x:c>
    </x:row>
    <x:row r="11" ht="42" customHeight="1">
      <x:c r="A11" s="1391" t="str">
        <x:v>row_version</x:v>
      </x:c>
      <x:c r="B11" s="1392" t="str">
        <x:v>并发编辑表</x:v>
      </x:c>
      <x:c r="C11" s="1392" t="str">
        <x:v>整数</x:v>
      </x:c>
      <x:c r="D11" s="1392" t="str">
        <x:v>是</x:v>
      </x:c>
      <x:c r="E11" s="1392" t="str">
        <x:v>数据库/Repository</x:v>
      </x:c>
      <x:c r="F11" s="1392" t="str">
        <x:v>可选</x:v>
      </x:c>
      <x:c r="G11" s="1392" t="str">
        <x:v>每次更新+1</x:v>
      </x:c>
      <x:c r="H11" s="1392" t="str">
        <x:v>乐观锁</x:v>
      </x:c>
      <x:c r="I11" s="1393" t="str">
        <x:v>冲突时不得静默覆盖</x:v>
      </x:c>
    </x:row>
    <x:row r="12" ht="42" customHeight="1">
      <x:c r="A12" s="1314" t="str">
        <x:v>trace_id</x:v>
      </x:c>
      <x:c r="B12" s="1315" t="str">
        <x:v>需要链路追踪表/事件</x:v>
      </x:c>
      <x:c r="C12" s="1315" t="str">
        <x:v>字符串</x:v>
      </x:c>
      <x:c r="D12" s="1315" t="str">
        <x:v>是</x:v>
      </x:c>
      <x:c r="E12" s="1315" t="str">
        <x:v>Gateway/调用上下文</x:v>
      </x:c>
      <x:c r="F12" s="1315" t="str">
        <x:v>trace_id索引</x:v>
      </x:c>
      <x:c r="G12" s="1315" t="str">
        <x:v>创建记录时写入</x:v>
      </x:c>
      <x:c r="H12" s="1315" t="str">
        <x:v>跨服务追踪</x:v>
      </x:c>
      <x:c r="I12" s="1316" t="str">
        <x:v>异步消息必须传播</x:v>
      </x:c>
    </x:row>
    <x:row r="13" ht="42" customHeight="1">
      <x:c r="A13" s="1325" t="str">
        <x:v>request_id</x:v>
      </x:c>
      <x:c r="B13" s="1326" t="str">
        <x:v>入口相关记录</x:v>
      </x:c>
      <x:c r="C13" s="1326" t="str">
        <x:v>字符串</x:v>
      </x:c>
      <x:c r="D13" s="1326" t="str">
        <x:v>条件必填</x:v>
      </x:c>
      <x:c r="E13" s="1326" t="str">
        <x:v>Gateway</x:v>
      </x:c>
      <x:c r="F13" s="1326" t="str">
        <x:v>唯一/时间索引</x:v>
      </x:c>
      <x:c r="G13" s="1326" t="str">
        <x:v>入口请求固定</x:v>
      </x:c>
      <x:c r="H13" s="1326" t="str">
        <x:v>请求幂等和排查</x:v>
      </x:c>
      <x:c r="I13" s="1327" t="str">
        <x:v>与requirement_id区分</x:v>
      </x:c>
    </x:row>
    <x:row r="14" ht="42" customHeight="1">
      <x:c r="A14" s="1336" t="str">
        <x:v>metadata</x:v>
      </x:c>
      <x:c r="B14" s="1337" t="str">
        <x:v>需要非核心扩展的表</x:v>
      </x:c>
      <x:c r="C14" s="1337" t="str">
        <x:v>JSON</x:v>
      </x:c>
      <x:c r="D14" s="1337" t="str">
        <x:v>否</x:v>
      </x:c>
      <x:c r="E14" s="1337" t="str">
        <x:v>领域服务</x:v>
      </x:c>
      <x:c r="F14" s="1337" t="str">
        <x:v>仅对明确键建表达式索引</x:v>
      </x:c>
      <x:c r="G14" s="1337" t="str">
        <x:v>受Schema约束更新</x:v>
      </x:c>
      <x:c r="H14" s="1337" t="str">
        <x:v>兼容扩展</x:v>
      </x:c>
      <x:c r="I14" s="1338" t="str">
        <x:v>不得放主状态、外键和强语义字段</x:v>
      </x:c>
    </x:row>
    <x:row r="15" ht="42" customHeight="1">
      <x:c r="A15" s="1347" t="str">
        <x:v>schema_version</x:v>
      </x:c>
      <x:c r="B15" s="1348" t="str">
        <x:v>JSON契约/事件/快照</x:v>
      </x:c>
      <x:c r="C15" s="1348" t="str">
        <x:v>字符串</x:v>
      </x:c>
      <x:c r="D15" s="1348" t="str">
        <x:v>是</x:v>
      </x:c>
      <x:c r="E15" s="1348" t="str">
        <x:v>Schema Registry</x:v>
      </x:c>
      <x:c r="F15" s="1348" t="str">
        <x:v>普通索引</x:v>
      </x:c>
      <x:c r="G15" s="1348" t="str">
        <x:v>对象创建时固定</x:v>
      </x:c>
      <x:c r="H15" s="1348" t="str">
        <x:v>向后兼容</x:v>
      </x:c>
      <x:c r="I15" s="1349" t="str">
        <x:v>禁止无版本JSON</x:v>
      </x:c>
    </x:row>
    <x:row r="16" ht="42" customHeight="1">
      <x:c r="A16" s="1358" t="str">
        <x:v>data_classification</x:v>
      </x:c>
      <x:c r="B16" s="1359" t="str">
        <x:v>含业务正文/证据/日志表</x:v>
      </x:c>
      <x:c r="C16" s="1359" t="str">
        <x:v>枚举</x:v>
      </x:c>
      <x:c r="D16" s="1359" t="str">
        <x:v>是</x:v>
      </x:c>
      <x:c r="E16" s="1359" t="str">
        <x:v>数据治理策略</x:v>
      </x:c>
      <x:c r="F16" s="1359" t="str">
        <x:v>分类索引</x:v>
      </x:c>
      <x:c r="G16" s="1359" t="str">
        <x:v>策略变更可重评</x:v>
      </x:c>
      <x:c r="H16" s="1359" t="str">
        <x:v>访问/脱敏/保留</x:v>
      </x:c>
      <x:c r="I16" s="1360" t="str">
        <x:v>不能全部默认internal</x:v>
      </x:c>
    </x:row>
    <x:row r="17" ht="42" customHeight="1">
      <x:c r="A17" s="1369" t="str">
        <x:v>retention_policy_id</x:v>
      </x:c>
      <x:c r="B17" s="1370" t="str">
        <x:v>有生命周期的数据</x:v>
      </x:c>
      <x:c r="C17" s="1370" t="str">
        <x:v>外键</x:v>
      </x:c>
      <x:c r="D17" s="1370" t="str">
        <x:v>是</x:v>
      </x:c>
      <x:c r="E17" s="1370" t="str">
        <x:v>数据治理服务</x:v>
      </x:c>
      <x:c r="F17" s="1370" t="str">
        <x:v>普通索引</x:v>
      </x:c>
      <x:c r="G17" s="1370" t="str">
        <x:v>策略绑定可变但需审计</x:v>
      </x:c>
      <x:c r="H17" s="1370" t="str">
        <x:v>自动归档删除</x:v>
      </x:c>
      <x:c r="I17" s="1371" t="str">
        <x:v>删除不得绕过legal hold</x:v>
      </x:c>
    </x:row>
    <x:row r="18" ht="42" customHeight="1">
      <x:c r="A18" s="1380" t="str">
        <x:v>source_system/source_external_id</x:v>
      </x:c>
      <x:c r="B18" s="1381" t="str">
        <x:v>外部同步实体</x:v>
      </x:c>
      <x:c r="C18" s="1381" t="str">
        <x:v>字符串</x:v>
      </x:c>
      <x:c r="D18" s="1381" t="str">
        <x:v>否</x:v>
      </x:c>
      <x:c r="E18" s="1381" t="str">
        <x:v>适配器</x:v>
      </x:c>
      <x:c r="F18" s="1381" t="str">
        <x:v>source_system+external_id唯一</x:v>
      </x:c>
      <x:c r="G18" s="1381" t="str">
        <x:v>同步时维护</x:v>
      </x:c>
      <x:c r="H18" s="1381" t="str">
        <x:v>外部映射</x:v>
      </x:c>
      <x:c r="I18" s="1382" t="str">
        <x:v>不能作为内部主键</x:v>
      </x:c>
    </x:row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40" hidden="0" customWidth="1"/>
    <x:col min="5" max="5" width="28" hidden="0" customWidth="1"/>
    <x:col min="6" max="6" width="30" hidden="0" customWidth="1"/>
    <x:col min="7" max="7" width="34" hidden="0" customWidth="1"/>
    <x:col min="8" max="8" width="12" hidden="0" customWidth="1"/>
    <x:col min="9" max="9" width="42" hidden="0" customWidth="1"/>
  </x:cols>
  <x:sheetData>
    <x:row r="1" ht="34" customHeight="1">
      <x:c r="A1" s="1486" t="str">
        <x:v>数据分类、脱敏、保留、删除与访问控制</x:v>
      </x:c>
      <x:c r="B1" s="1487"/>
      <x:c r="C1" s="1487"/>
      <x:c r="D1" s="1487"/>
      <x:c r="E1" s="1487"/>
      <x:c r="F1" s="1487"/>
      <x:c r="G1" s="1487"/>
      <x:c r="H1" s="1487"/>
      <x:c r="I1" s="1488"/>
    </x:row>
    <x:row r="3" ht="36" customHeight="1">
      <x:c r="A3" s="1408" t="str">
        <x:v>治理项</x:v>
      </x:c>
      <x:c r="B3" s="1408" t="str">
        <x:v>适用对象</x:v>
      </x:c>
      <x:c r="C3" s="1413" t="str">
        <x:v>分类/策略</x:v>
      </x:c>
      <x:c r="D3" s="1413" t="str">
        <x:v>默认规则</x:v>
      </x:c>
      <x:c r="E3" s="1418" t="str">
        <x:v>实现位置</x:v>
      </x:c>
      <x:c r="F3" s="1418" t="str">
        <x:v>审计要求</x:v>
      </x:c>
      <x:c r="G3" s="1423" t="str">
        <x:v>例外处理</x:v>
      </x:c>
      <x:c r="H3" s="1423" t="str">
        <x:v>V1范围</x:v>
      </x:c>
      <x:c r="I3" s="1428" t="str">
        <x:v>验收标准</x:v>
      </x:c>
    </x:row>
    <x:row r="4" ht="46" customHeight="1">
      <x:c r="A4" s="1314" t="str">
        <x:v>数据分类</x:v>
      </x:c>
      <x:c r="B4" s="1315" t="str">
        <x:v>需求正文、日志、测试数据、凭证、证据</x:v>
      </x:c>
      <x:c r="C4" s="1315" t="str">
        <x:v>public/internal/confidential/secret</x:v>
      </x:c>
      <x:c r="D4" s="1315" t="str">
        <x:v>需求和日志默认confidential；凭证secret</x:v>
      </x:c>
      <x:c r="E4" s="1315" t="str">
        <x:v>Data Catalog/字段元数据</x:v>
      </x:c>
      <x:c r="F4" s="1315" t="str">
        <x:v>分类变更留审计</x:v>
      </x:c>
      <x:c r="G4" s="1315" t="str">
        <x:v>项目管理员审批</x:v>
      </x:c>
      <x:c r="H4" s="1315" t="str">
        <x:v>是</x:v>
      </x:c>
      <x:c r="I4" s="1316" t="str">
        <x:v>核心对象均有分类</x:v>
      </x:c>
    </x:row>
    <x:row r="5" ht="46" customHeight="1">
      <x:c r="A5" s="1325" t="str">
        <x:v>AI输入脱敏</x:v>
      </x:c>
      <x:c r="B5" s="1326" t="str">
        <x:v>需求、缺陷、日志、OpenAPI</x:v>
      </x:c>
      <x:c r="C5" s="1326" t="str">
        <x:v>PII/Token/账号/内部地址脱敏</x:v>
      </x:c>
      <x:c r="D5" s="1326" t="str">
        <x:v>发送外部模型前执行</x:v>
      </x:c>
      <x:c r="E5" s="1326" t="str">
        <x:v>输入适配/AI Gateway</x:v>
      </x:c>
      <x:c r="F5" s="1326" t="str">
        <x:v>记录规则版本和结果，不记明文</x:v>
      </x:c>
      <x:c r="G5" s="1326" t="str">
        <x:v>内部私有模型可按策略豁免</x:v>
      </x:c>
      <x:c r="H5" s="1326" t="str">
        <x:v>是</x:v>
      </x:c>
      <x:c r="I5" s="1327" t="str">
        <x:v>敏感Token不会进入Prompt</x:v>
      </x:c>
    </x:row>
    <x:row r="6" ht="46" customHeight="1">
      <x:c r="A6" s="1336" t="str">
        <x:v>AI输出检查</x:v>
      </x:c>
      <x:c r="B6" s="1337" t="str">
        <x:v>模型响应</x:v>
      </x:c>
      <x:c r="C6" s="1337" t="str">
        <x:v>敏感回显、危险Payload、越权引用</x:v>
      </x:c>
      <x:c r="D6" s="1337" t="str">
        <x:v>输出解析后检查</x:v>
      </x:c>
      <x:c r="E6" s="1337" t="str">
        <x:v>AI Gateway/评估服务</x:v>
      </x:c>
      <x:c r="F6" s="1337" t="str">
        <x:v>记录命中规则</x:v>
      </x:c>
      <x:c r="G6" s="1337" t="str">
        <x:v>以warning入资产或阻止危险执行资源绑定</x:v>
      </x:c>
      <x:c r="H6" s="1337" t="str">
        <x:v>是</x:v>
      </x:c>
      <x:c r="I6" s="1338" t="str">
        <x:v>不因普通质量问题丢失资产</x:v>
      </x:c>
    </x:row>
    <x:row r="7" ht="46" customHeight="1">
      <x:c r="A7" s="1347" t="str">
        <x:v>凭证保护</x:v>
      </x:c>
      <x:c r="B7" s="1348" t="str">
        <x:v>账号、Token、密钥</x:v>
      </x:c>
      <x:c r="C7" s="1348" t="str">
        <x:v>Vault/KMS引用</x:v>
      </x:c>
      <x:c r="D7" s="1348" t="str">
        <x:v>数据库/script_code仅存credential_ref</x:v>
      </x:c>
      <x:c r="E7" s="1348" t="str">
        <x:v>凭证中心/Runner</x:v>
      </x:c>
      <x:c r="F7" s="1348" t="str">
        <x:v>所有读取和轮换审计</x:v>
      </x:c>
      <x:c r="G7" s="1348" t="str">
        <x:v>紧急break-glass审批</x:v>
      </x:c>
      <x:c r="H7" s="1348" t="str">
        <x:v>是</x:v>
      </x:c>
      <x:c r="I7" s="1349" t="str">
        <x:v>导出脚本不含明文</x:v>
      </x:c>
    </x:row>
    <x:row r="8" ht="46" customHeight="1">
      <x:c r="A8" s="1358" t="str">
        <x:v>日志脱敏</x:v>
      </x:c>
      <x:c r="B8" s="1359" t="str">
        <x:v>应用日志、Runner日志、网络记录</x:v>
      </x:c>
      <x:c r="C8" s="1359" t="str">
        <x:v>字段级掩码/Hash/删除</x:v>
      </x:c>
      <x:c r="D8" s="1359" t="str">
        <x:v>默认脱敏Authorization、Cookie、密码</x:v>
      </x:c>
      <x:c r="E8" s="1359" t="str">
        <x:v>Logging SDK</x:v>
      </x:c>
      <x:c r="F8" s="1359" t="str">
        <x:v>规则版本可追踪</x:v>
      </x:c>
      <x:c r="G8" s="1359" t="str">
        <x:v>调试临时放开需短期审批</x:v>
      </x:c>
      <x:c r="H8" s="1359" t="str">
        <x:v>是</x:v>
      </x:c>
      <x:c r="I8" s="1360" t="str">
        <x:v>普通日志无敏感明文</x:v>
      </x:c>
    </x:row>
    <x:row r="9" ht="46" customHeight="1">
      <x:c r="A9" s="1369" t="str">
        <x:v>截图视频脱敏</x:v>
      </x:c>
      <x:c r="B9" s="1370" t="str">
        <x:v>截图、视频、Trace</x:v>
      </x:c>
      <x:c r="C9" s="1370" t="str">
        <x:v>区域遮罩/页面规则/访问控制</x:v>
      </x:c>
      <x:c r="D9" s="1370" t="str">
        <x:v>敏感页面默认限制证据</x:v>
      </x:c>
      <x:c r="E9" s="1370" t="str">
        <x:v>Evidence Service</x:v>
      </x:c>
      <x:c r="F9" s="1370" t="str">
        <x:v>访问和下载审计</x:v>
      </x:c>
      <x:c r="G9" s="1370" t="str">
        <x:v>人工标记重处理</x:v>
      </x:c>
      <x:c r="H9" s="1370" t="str">
        <x:v>否</x:v>
      </x:c>
      <x:c r="I9" s="1371" t="str">
        <x:v>敏感证据仅授权用户可看</x:v>
      </x:c>
    </x:row>
    <x:row r="10" ht="46" customHeight="1">
      <x:c r="A10" s="1380" t="str">
        <x:v>保留策略</x:v>
      </x:c>
      <x:c r="B10" s="1381" t="str">
        <x:v>资产、执行、证据、审计</x:v>
      </x:c>
      <x:c r="C10" s="1381" t="str">
        <x:v>按对象和分类设置天数</x:v>
      </x:c>
      <x:c r="D10" s="1381" t="str">
        <x:v>资产长期；执行180天；证据90天；审计按合规</x:v>
      </x:c>
      <x:c r="E10" s="1381" t="str">
        <x:v>Retention Worker</x:v>
      </x:c>
      <x:c r="F10" s="1381" t="str">
        <x:v>删除任务和结果审计</x:v>
      </x:c>
      <x:c r="G10" s="1381" t="str">
        <x:v>Legal Hold暂停删除</x:v>
      </x:c>
      <x:c r="H10" s="1381" t="str">
        <x:v>否</x:v>
      </x:c>
      <x:c r="I10" s="1382" t="str">
        <x:v>到期自动处理且可验证</x:v>
      </x:c>
    </x:row>
    <x:row r="11" ht="46" customHeight="1">
      <x:c r="A11" s="1391" t="str">
        <x:v>删除策略</x:v>
      </x:c>
      <x:c r="B11" s="1392" t="str">
        <x:v>项目/需求/用户请求删除</x:v>
      </x:c>
      <x:c r="C11" s="1392" t="str">
        <x:v>软删除、匿名化、物理删除</x:v>
      </x:c>
      <x:c r="D11" s="1392" t="str">
        <x:v>先解除业务引用，再按策略处理</x:v>
      </x:c>
      <x:c r="E11" s="1392" t="str">
        <x:v>领域服务+治理Worker</x:v>
      </x:c>
      <x:c r="F11" s="1392" t="str">
        <x:v>记录删除原因和范围</x:v>
      </x:c>
      <x:c r="G11" s="1392" t="str">
        <x:v>审计日志可保留匿名记录</x:v>
      </x:c>
      <x:c r="H11" s="1392" t="str">
        <x:v>否</x:v>
      </x:c>
      <x:c r="I11" s="1393" t="str">
        <x:v>删除不会破坏历史关系完整性</x:v>
      </x:c>
    </x:row>
    <x:row r="12" ht="46" customHeight="1">
      <x:c r="A12" s="1314" t="str">
        <x:v>访问控制</x:v>
      </x:c>
      <x:c r="B12" s="1315" t="str">
        <x:v>资产、资源、凭证、证据、执行</x:v>
      </x:c>
      <x:c r="C12" s="1315" t="str">
        <x:v>RBAC+项目隔离+资源级策略</x:v>
      </x:c>
      <x:c r="D12" s="1315" t="str">
        <x:v>最小权限</x:v>
      </x:c>
      <x:c r="E12" s="1315" t="str">
        <x:v>API Gateway/各服务</x:v>
      </x:c>
      <x:c r="F12" s="1315" t="str">
        <x:v>拒绝和高风险访问审计</x:v>
      </x:c>
      <x:c r="G12" s="1315" t="str">
        <x:v>Break-glass短时授权</x:v>
      </x:c>
      <x:c r="H12" s="1315" t="str">
        <x:v>否</x:v>
      </x:c>
      <x:c r="I12" s="1316" t="str">
        <x:v>跨项目访问被拒绝</x:v>
      </x:c>
    </x:row>
    <x:row r="13" ht="46" customHeight="1">
      <x:c r="A13" s="1325" t="str">
        <x:v>对象存储安全</x:v>
      </x:c>
      <x:c r="B13" s="1326" t="str">
        <x:v>文档、证据、报告</x:v>
      </x:c>
      <x:c r="C13" s="1326" t="str">
        <x:v>私有Bucket、签名URL、加密</x:v>
      </x:c>
      <x:c r="D13" s="1326" t="str">
        <x:v>禁止公共读</x:v>
      </x:c>
      <x:c r="E13" s="1326" t="str">
        <x:v>对象存储适配器</x:v>
      </x:c>
      <x:c r="F13" s="1326" t="str">
        <x:v>下载/删除审计</x:v>
      </x:c>
      <x:c r="G13" s="1326" t="str">
        <x:v>外部分享需过期链接</x:v>
      </x:c>
      <x:c r="H13" s="1326" t="str">
        <x:v>是</x:v>
      </x:c>
      <x:c r="I13" s="1327" t="str">
        <x:v>对象无法通过猜测URL访问</x:v>
      </x:c>
    </x:row>
    <x:row r="14" ht="46" customHeight="1">
      <x:c r="A14" s="1336" t="str">
        <x:v>法律保留</x:v>
      </x:c>
      <x:c r="B14" s="1337" t="str">
        <x:v>审计、缺陷证据、争议数据</x:v>
      </x:c>
      <x:c r="C14" s="1337" t="str">
        <x:v>legal_hold</x:v>
      </x:c>
      <x:c r="D14" s="1337" t="str">
        <x:v>命中时暂停归档/删除</x:v>
      </x:c>
      <x:c r="E14" s="1337" t="str">
        <x:v>数据治理服务</x:v>
      </x:c>
      <x:c r="F14" s="1337" t="str">
        <x:v>创建/解除需双人审计</x:v>
      </x:c>
      <x:c r="G14" s="1337" t="str">
        <x:v>法务审批</x:v>
      </x:c>
      <x:c r="H14" s="1337" t="str">
        <x:v>否</x:v>
      </x:c>
      <x:c r="I14" s="1338" t="str">
        <x:v>保留期间不会被自动删除</x:v>
      </x:c>
    </x:row>
    <x:row r="15" ht="46" customHeight="1">
      <x:c r="A15" s="1347" t="str">
        <x:v>备份安全</x:v>
      </x:c>
      <x:c r="B15" s="1348" t="str">
        <x:v>数据库、对象存储备份</x:v>
      </x:c>
      <x:c r="C15" s="1348" t="str">
        <x:v>加密、隔离账户、恢复权限</x:v>
      </x:c>
      <x:c r="D15" s="1348" t="str">
        <x:v>备份与生产权限分离</x:v>
      </x:c>
      <x:c r="E15" s="1348" t="str">
        <x:v>备份系统</x:v>
      </x:c>
      <x:c r="F15" s="1348" t="str">
        <x:v>备份和恢复操作审计</x:v>
      </x:c>
      <x:c r="G15" s="1348" t="str">
        <x:v>应急恢复流程</x:v>
      </x:c>
      <x:c r="H15" s="1348" t="str">
        <x:v>否</x:v>
      </x:c>
      <x:c r="I15" s="1349" t="str">
        <x:v>备份数据同样满足分类策略</x:v>
      </x:c>
    </x:row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46" hidden="0" customWidth="1"/>
    <x:col min="5" max="5" width="34" hidden="0" customWidth="1"/>
    <x:col min="6" max="6" width="36" hidden="0" customWidth="1"/>
    <x:col min="7" max="7" width="34" hidden="0" customWidth="1"/>
    <x:col min="8" max="8" width="36" hidden="0" customWidth="1"/>
    <x:col min="9" max="9" width="14" hidden="0" customWidth="1"/>
  </x:cols>
  <x:sheetData>
    <x:row r="1" ht="34" customHeight="1">
      <x:c r="A1" s="1466" t="str">
        <x:v>旧平台数据、接口和代码切流计划</x:v>
      </x:c>
      <x:c r="B1" s="1467"/>
      <x:c r="C1" s="1467"/>
      <x:c r="D1" s="1467"/>
      <x:c r="E1" s="1467"/>
      <x:c r="F1" s="1467"/>
      <x:c r="G1" s="1467"/>
      <x:c r="H1" s="1467"/>
      <x:c r="I1" s="1468"/>
    </x:row>
    <x:row r="3" ht="36" customHeight="1">
      <x:c r="A3" s="1408" t="str">
        <x:v>迁移对象/工作项</x:v>
      </x:c>
      <x:c r="B3" s="1408" t="str">
        <x:v>旧平台现状</x:v>
      </x:c>
      <x:c r="C3" s="1413" t="str">
        <x:v>V2目标</x:v>
      </x:c>
      <x:c r="D3" s="1413" t="str">
        <x:v>迁移策略</x:v>
      </x:c>
      <x:c r="E3" s="1418" t="str">
        <x:v>校验方式</x:v>
      </x:c>
      <x:c r="F3" s="1418" t="str">
        <x:v>切流条件</x:v>
      </x:c>
      <x:c r="G3" s="1423" t="str">
        <x:v>回滚方案</x:v>
      </x:c>
      <x:c r="H3" s="1423" t="str">
        <x:v>删除条件</x:v>
      </x:c>
      <x:c r="I3" s="1428" t="str">
        <x:v>状态</x:v>
      </x:c>
    </x:row>
    <x:row r="4" ht="50" customHeight="1">
      <x:c r="A4" s="1314" t="str">
        <x:v>旧 candidate / selected_candidates</x:v>
      </x:c>
      <x:c r="B4" s="1315" t="str">
        <x:v>作为候选预览和勾选保存的业务对象</x:v>
      </x:c>
      <x:c r="C4" s="1315" t="str">
        <x:v>不再作为业务实体</x:v>
      </x:c>
      <x:c r="D4" s="1315" t="str">
        <x:v>历史candidate仅保留审计或映射为AssetVersion；不迁移选择状态</x:v>
      </x:c>
      <x:c r="E4" s="1315" t="str">
        <x:v>数量、来源和内容抽样</x:v>
      </x:c>
      <x:c r="F4" s="1315" t="str">
        <x:v>V2资产入库链稳定</x:v>
      </x:c>
      <x:c r="G4" s="1315" t="str">
        <x:v>Feature Flag切回旧入口</x:v>
      </x:c>
      <x:c r="H4" s="1315" t="str">
        <x:v>V2稳定期通过且无接口调用</x:v>
      </x:c>
      <x:c r="I4" s="1316" t="str">
        <x:v>not_started</x:v>
      </x:c>
    </x:row>
    <x:row r="5" ht="50" customHeight="1">
      <x:c r="A5" s="1325" t="str">
        <x:v>旧 TestPoint / TestPointPlan</x:v>
      </x:c>
      <x:c r="B5" s="1326" t="str">
        <x:v>包含自然语言和机器步骤混合</x:v>
      </x:c>
      <x:c r="C5" s="1326" t="str">
        <x:v>TestAsset/AssetVersion只存自然语言</x:v>
      </x:c>
      <x:c r="D5" s="1326" t="str">
        <x:v>拆分自然语言字段；机器字段不写入资产</x:v>
      </x:c>
      <x:c r="E5" s="1326" t="str">
        <x:v>字段完整率、内容hash、人工抽样</x:v>
      </x:c>
      <x:c r="F5" s="1326" t="str">
        <x:v>资产中心可查看编辑</x:v>
      </x:c>
      <x:c r="G5" s="1326" t="str">
        <x:v>恢复只读旧表</x:v>
      </x:c>
      <x:c r="H5" s="1326" t="str">
        <x:v>所有有效资产已验证</x:v>
      </x:c>
      <x:c r="I5" s="1327" t="str">
        <x:v>not_started</x:v>
      </x:c>
    </x:row>
    <x:row r="6" ht="50" customHeight="1">
      <x:c r="A6" s="1336" t="str">
        <x:v>旧直接编译路径</x:v>
      </x:c>
      <x:c r="B6" s="1337" t="str">
        <x:v>多个Facade/Orchestrator/Direct入口</x:v>
      </x:c>
      <x:c r="C6" s="1337" t="str">
        <x:v>唯一Asset-to-Case服务</x:v>
      </x:c>
      <x:c r="D6" s="1337" t="str">
        <x:v>先禁新调用，再用适配器转发到V2，最终删除</x:v>
      </x:c>
      <x:c r="E6" s="1337" t="str">
        <x:v>调用日志、架构测试</x:v>
      </x:c>
      <x:c r="F6" s="1337" t="str">
        <x:v>V2功能用例转换成功率达标</x:v>
      </x:c>
      <x:c r="G6" s="1337" t="str">
        <x:v>Feature Flag恢复旧路由</x:v>
      </x:c>
      <x:c r="H6" s="1337" t="str">
        <x:v>连续观察无调用且测试通过</x:v>
      </x:c>
      <x:c r="I6" s="1338" t="str">
        <x:v>not_started</x:v>
      </x:c>
    </x:row>
    <x:row r="7" ht="50" customHeight="1">
      <x:c r="A7" s="1347" t="str">
        <x:v>旧测试用例</x:v>
      </x:c>
      <x:c r="B7" s="1348" t="str">
        <x:v>可能缺少source_asset_version和资源快照</x:v>
      </x:c>
      <x:c r="C7" s="1348" t="str">
        <x:v>TestCase/TestCaseVersion</x:v>
      </x:c>
      <x:c r="D7" s="1348" t="str">
        <x:v>可关联的补建Asset；不可关联的标记legacy_origin</x:v>
      </x:c>
      <x:c r="E7" s="1348" t="str">
        <x:v>脚本hash、执行抽样</x:v>
      </x:c>
      <x:c r="F7" s="1348" t="str">
        <x:v>Runner兼容验证</x:v>
      </x:c>
      <x:c r="G7" s="1348" t="str">
        <x:v>继续执行旧case只读副本</x:v>
      </x:c>
      <x:c r="H7" s="1348" t="str">
        <x:v>重要用例完成V2重建或明确保留</x:v>
      </x:c>
      <x:c r="I7" s="1349" t="str">
        <x:v>not_started</x:v>
      </x:c>
    </x:row>
    <x:row r="8" ht="50" customHeight="1">
      <x:c r="A8" s="1358" t="str">
        <x:v>历史Execution/Report/Evidence</x:v>
      </x:c>
      <x:c r="B8" s="1359" t="str">
        <x:v>已有执行、报告和证据</x:v>
      </x:c>
      <x:c r="C8" s="1359" t="str">
        <x:v>保留历史查询和追踪</x:v>
      </x:c>
      <x:c r="D8" s="1359" t="str">
        <x:v>优先原地保留，建立legacy_mapping；必要时只迁移元数据引用</x:v>
      </x:c>
      <x:c r="E8" s="1359" t="str">
        <x:v>数量、对象可访问、关联抽样</x:v>
      </x:c>
      <x:c r="F8" s="1359" t="str">
        <x:v>新旧查询统一入口完成</x:v>
      </x:c>
      <x:c r="G8" s="1359" t="str">
        <x:v>旧查询服务恢复</x:v>
      </x:c>
      <x:c r="H8" s="1359" t="str">
        <x:v>保留策略到期或归档完成</x:v>
      </x:c>
      <x:c r="I8" s="1360" t="str">
        <x:v>not_started</x:v>
      </x:c>
    </x:row>
    <x:row r="9" ht="50" customHeight="1">
      <x:c r="A9" s="1369" t="str">
        <x:v>旧ID规则</x:v>
      </x:c>
      <x:c r="B9" s="1370" t="str">
        <x:v>部分ID生成依赖候选保存阶段</x:v>
      </x:c>
      <x:c r="C9" s="1370" t="str">
        <x:v>ID在生成结果入库前分配</x:v>
      </x:c>
      <x:c r="D9" s="1370" t="str">
        <x:v>制定旧ID到新ID映射；可复用的沿用现有规则</x:v>
      </x:c>
      <x:c r="E9" s="1370" t="str">
        <x:v>唯一性、碰撞、外键校验</x:v>
      </x:c>
      <x:c r="F9" s="1370" t="str">
        <x:v>映射策略评审通过</x:v>
      </x:c>
      <x:c r="G9" s="1370" t="str">
        <x:v>停止迁移并恢复快照</x:v>
      </x:c>
      <x:c r="H9" s="1370" t="str">
        <x:v>全部实体映射verified</x:v>
      </x:c>
      <x:c r="I9" s="1371" t="str">
        <x:v>not_started</x:v>
      </x:c>
    </x:row>
    <x:row r="10" ht="50" customHeight="1">
      <x:c r="A10" s="1380" t="str">
        <x:v>数据库Schema</x:v>
      </x:c>
      <x:c r="B10" s="1381" t="str">
        <x:v>旧表与V2表并存</x:v>
      </x:c>
      <x:c r="C10" s="1381" t="str">
        <x:v>V2独立表和明确事实源</x:v>
      </x:c>
      <x:c r="D10" s="1381" t="str">
        <x:v>迁移脚本版本化；不直接改写旧表</x:v>
      </x:c>
      <x:c r="E10" s="1381" t="str">
        <x:v>行数、checksum、约束、外键</x:v>
      </x:c>
      <x:c r="F10" s="1381" t="str">
        <x:v>完整备份和演练成功</x:v>
      </x:c>
      <x:c r="G10" s="1381" t="str">
        <x:v>数据库恢复/反向脚本</x:v>
      </x:c>
      <x:c r="H10" s="1381" t="str">
        <x:v>观察期结束且无旧写入</x:v>
      </x:c>
      <x:c r="I10" s="1382" t="str">
        <x:v>not_started</x:v>
      </x:c>
    </x:row>
    <x:row r="11" ht="50" customHeight="1">
      <x:c r="A11" s="1391" t="str">
        <x:v>API与前端入口</x:v>
      </x:c>
      <x:c r="B11" s="1392" t="str">
        <x:v>候选预览、保存所选、direct compile</x:v>
      </x:c>
      <x:c r="C11" s="1392" t="str">
        <x:v>生成后直接资产中心；资产中心发起转换</x:v>
      </x:c>
      <x:c r="D11" s="1392" t="str">
        <x:v>按项目Feature Flag灰度；旧API先deprecated后410</x:v>
      </x:c>
      <x:c r="E11" s="1392" t="str">
        <x:v>访问日志、E2E</x:v>
      </x:c>
      <x:c r="F11" s="1392" t="str">
        <x:v>灰度项目关键链通过</x:v>
      </x:c>
      <x:c r="G11" s="1392" t="str">
        <x:v>切回旧Flag</x:v>
      </x:c>
      <x:c r="H11" s="1392" t="str">
        <x:v>旧API无调用达到约定周期</x:v>
      </x:c>
      <x:c r="I11" s="1393" t="str">
        <x:v>not_started</x:v>
      </x:c>
    </x:row>
    <x:row r="12" ht="50" customHeight="1">
      <x:c r="A12" s="1314" t="str">
        <x:v>双写策略</x:v>
      </x:c>
      <x:c r="B12" s="1315" t="str">
        <x:v>可能考虑旧新同时写</x:v>
      </x:c>
      <x:c r="C12" s="1315" t="str">
        <x:v>尽量避免长期双写</x:v>
      </x:c>
      <x:c r="D12" s="1315" t="str">
        <x:v>短期只在必要实体使用Outbox事件同步；定义主事实源</x:v>
      </x:c>
      <x:c r="E12" s="1315" t="str">
        <x:v>对账报告、重放验证</x:v>
      </x:c>
      <x:c r="F12" s="1315" t="str">
        <x:v>差异率为0且可重放</x:v>
      </x:c>
      <x:c r="G12" s="1315" t="str">
        <x:v>停V2消费者/恢复旧主写</x:v>
      </x:c>
      <x:c r="H12" s="1315" t="str">
        <x:v>V2切为唯一主写</x:v>
      </x:c>
      <x:c r="I12" s="1316" t="str">
        <x:v>not_started</x:v>
      </x:c>
    </x:row>
    <x:row r="13" ht="50" customHeight="1">
      <x:c r="A13" s="1325" t="str">
        <x:v>迁移批次</x:v>
      </x:c>
      <x:c r="B13" s="1326" t="str">
        <x:v>缺少统一迁移追踪</x:v>
      </x:c>
      <x:c r="C13" s="1326" t="str">
        <x:v>MigrationRun/LegacyMapping</x:v>
      </x:c>
      <x:c r="D13" s="1326" t="str">
        <x:v>按项目或实体类型分批；每批可重跑</x:v>
      </x:c>
      <x:c r="E13" s="1326" t="str">
        <x:v>counts/checksum/error samples</x:v>
      </x:c>
      <x:c r="F13" s="1326" t="str">
        <x:v>批次verified</x:v>
      </x:c>
      <x:c r="G13" s="1326" t="str">
        <x:v>按批次回滚</x:v>
      </x:c>
      <x:c r="H13" s="1326" t="str">
        <x:v>全部批次cut_over</x:v>
      </x:c>
      <x:c r="I13" s="1327" t="str">
        <x:v>not_started</x:v>
      </x:c>
    </x:row>
    <x:row r="14" ht="50" customHeight="1">
      <x:c r="A14" s="1336" t="str">
        <x:v>历史关系补建</x:v>
      </x:c>
      <x:c r="B14" s="1337" t="str">
        <x:v>旧case与需求/资产关系不完整</x:v>
      </x:c>
      <x:c r="C14" s="1337" t="str">
        <x:v>完整requirement→asset→case链</x:v>
      </x:c>
      <x:c r="D14" s="1337" t="str">
        <x:v>根据文档、标题、旧ID和人工规则补建；低置信度标记待确认</x:v>
      </x:c>
      <x:c r="E14" s="1337" t="str">
        <x:v>关系覆盖率和抽样</x:v>
      </x:c>
      <x:c r="F14" s="1337" t="str">
        <x:v>核心回归用例关系完成</x:v>
      </x:c>
      <x:c r="G14" s="1337" t="str">
        <x:v>保留legacy_unlinked状态</x:v>
      </x:c>
      <x:c r="H14" s="1337" t="str">
        <x:v>待确认清零或被接受</x:v>
      </x:c>
      <x:c r="I14" s="1338" t="str">
        <x:v>not_started</x:v>
      </x:c>
    </x:row>
    <x:row r="15" ht="50" customHeight="1">
      <x:c r="A15" s="1347" t="str">
        <x:v>删除与归档</x:v>
      </x:c>
      <x:c r="B15" s="1348" t="str">
        <x:v>旧代码和表长期残留风险</x:v>
      </x:c>
      <x:c r="C15" s="1348" t="str">
        <x:v>旧链彻底移除或只读归档</x:v>
      </x:c>
      <x:c r="D15" s="1348" t="str">
        <x:v>先停止写、再停止读、最后归档/删除</x:v>
      </x:c>
      <x:c r="E15" s="1348" t="str">
        <x:v>调用扫描、依赖扫描、备份验证</x:v>
      </x:c>
      <x:c r="F15" s="1348" t="str">
        <x:v>稳定观察期+回滚窗口结束</x:v>
      </x:c>
      <x:c r="G15" s="1348" t="str">
        <x:v>从归档制品恢复</x:v>
      </x:c>
      <x:c r="H15" s="1348" t="str">
        <x:v>无调用、无依赖、数据已归档</x:v>
      </x:c>
      <x:c r="I15" s="1349" t="str">
        <x:v>not_started</x:v>
      </x:c>
    </x:row>
  </x:sheetData>
  <x:mergeCells>
    <x:mergeCell ref="A1:I1"/>
  </x:mergeCells>
  <x:conditionalFormatting sqref="I4:I15">
    <x:cfRule type="expression" dxfId="138" priority="1">
      <x:formula>I4="verified"</x:formula>
    </x:cfRule>
    <x:cfRule type="expression" dxfId="139" priority="2">
      <x:formula>I4="blocked"</x:formula>
    </x:cfRule>
    <x:cfRule type="expression" dxfId="140" priority="3">
      <x:formula>I4="cut_over"</x:formula>
    </x:cfRule>
    <x:cfRule type="expression" dxfId="141" priority="4">
      <x:formula>I4="removed"</x:formula>
    </x:cfRule>
  </x:conditionalFormatting>
  <x:dataValidations count="1">
    <x:dataValidation type="list" sqref="I4:I15">
      <x:formula1>"not_started,mapped,migrated,verified,cut_over,deprecated,removed,blocked,rolled_back"</x:formula1>
    </x:dataValidation>
  </x:dataValidations>
  <x:pageMargins left="0.7" right="0.7" top="0.75" bottom="0.75" header="0.3" footer="0.3"/>
</x:worksheet>
</file>